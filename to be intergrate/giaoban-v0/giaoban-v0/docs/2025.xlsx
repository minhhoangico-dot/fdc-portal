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TOAN3\Desktop\"/>
    </mc:Choice>
  </mc:AlternateContent>
  <bookViews>
    <workbookView xWindow="0" yWindow="0" windowWidth="28800" windowHeight="12435" tabRatio="1000"/>
  </bookViews>
  <sheets>
    <sheet name="T1" sheetId="1" r:id="rId1"/>
    <sheet name="DS T1" sheetId="2" r:id="rId2"/>
    <sheet name="T2" sheetId="3" r:id="rId3"/>
    <sheet name="DS T2" sheetId="4" r:id="rId4"/>
    <sheet name="T3" sheetId="5" r:id="rId5"/>
    <sheet name="DS T3" sheetId="6" r:id="rId6"/>
    <sheet name="T4" sheetId="7" r:id="rId7"/>
    <sheet name="DS T4" sheetId="8" r:id="rId8"/>
    <sheet name="T5" sheetId="9" r:id="rId9"/>
    <sheet name="DS T5" sheetId="10" r:id="rId10"/>
    <sheet name="T6" sheetId="11" r:id="rId11"/>
    <sheet name="DS T6" sheetId="12" r:id="rId12"/>
    <sheet name="T7" sheetId="13" r:id="rId13"/>
    <sheet name="DS T7" sheetId="14" r:id="rId14"/>
    <sheet name="T8" sheetId="15" r:id="rId15"/>
    <sheet name="DS T8" sheetId="16" r:id="rId16"/>
    <sheet name="T9" sheetId="17" r:id="rId17"/>
    <sheet name="DS T9" sheetId="18" r:id="rId18"/>
    <sheet name="T10" sheetId="19" r:id="rId19"/>
    <sheet name="DS T10" sheetId="20" r:id="rId20"/>
    <sheet name="T11" sheetId="21" r:id="rId21"/>
    <sheet name="DS T11" sheetId="22" r:id="rId22"/>
    <sheet name="T12" sheetId="23" r:id="rId23"/>
    <sheet name="DS T12" sheetId="24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24" l="1"/>
  <c r="M27" i="24"/>
  <c r="L27" i="24"/>
  <c r="K27" i="24"/>
  <c r="J27" i="24"/>
  <c r="I27" i="24"/>
  <c r="H27" i="24"/>
  <c r="G27" i="24"/>
  <c r="F27" i="24"/>
  <c r="E27" i="24"/>
  <c r="D27" i="24"/>
  <c r="C27" i="24"/>
  <c r="B27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N20" i="24"/>
  <c r="N28" i="24" s="1"/>
  <c r="M20" i="24"/>
  <c r="L20" i="24"/>
  <c r="L28" i="24" s="1"/>
  <c r="K20" i="24"/>
  <c r="J20" i="24"/>
  <c r="J28" i="24" s="1"/>
  <c r="I20" i="24"/>
  <c r="G20" i="24"/>
  <c r="F20" i="24"/>
  <c r="F28" i="24" s="1"/>
  <c r="E20" i="24"/>
  <c r="D20" i="24"/>
  <c r="D28" i="24" s="1"/>
  <c r="C20" i="24"/>
  <c r="B20" i="24"/>
  <c r="B28" i="24" s="1"/>
  <c r="N19" i="24"/>
  <c r="M19" i="24"/>
  <c r="M28" i="24" s="1"/>
  <c r="L19" i="24"/>
  <c r="K19" i="24"/>
  <c r="K28" i="24" s="1"/>
  <c r="J19" i="24"/>
  <c r="I19" i="24"/>
  <c r="I28" i="24" s="1"/>
  <c r="H19" i="24"/>
  <c r="G19" i="24"/>
  <c r="G28" i="24" s="1"/>
  <c r="F19" i="24"/>
  <c r="E19" i="24"/>
  <c r="E28" i="24" s="1"/>
  <c r="D19" i="24"/>
  <c r="C19" i="24"/>
  <c r="C28" i="24" s="1"/>
  <c r="B19" i="24"/>
  <c r="N18" i="24"/>
  <c r="M18" i="24"/>
  <c r="L18" i="24"/>
  <c r="K18" i="24"/>
  <c r="J18" i="24"/>
  <c r="I18" i="24"/>
  <c r="G18" i="24"/>
  <c r="F18" i="24"/>
  <c r="E18" i="24"/>
  <c r="D18" i="24"/>
  <c r="C18" i="24"/>
  <c r="B18" i="24"/>
  <c r="N10" i="24"/>
  <c r="H10" i="24"/>
  <c r="H20" i="24" s="1"/>
  <c r="H28" i="24" s="1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N26" i="22"/>
  <c r="M26" i="22"/>
  <c r="L26" i="22"/>
  <c r="K26" i="22"/>
  <c r="J26" i="22"/>
  <c r="H26" i="22"/>
  <c r="G26" i="22"/>
  <c r="F26" i="22"/>
  <c r="E26" i="22"/>
  <c r="C26" i="22"/>
  <c r="B26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N20" i="22"/>
  <c r="N28" i="22" s="1"/>
  <c r="M20" i="22"/>
  <c r="L20" i="22"/>
  <c r="L28" i="22" s="1"/>
  <c r="K20" i="22"/>
  <c r="J20" i="22"/>
  <c r="J28" i="22" s="1"/>
  <c r="G20" i="22"/>
  <c r="F20" i="22"/>
  <c r="F28" i="22" s="1"/>
  <c r="E20" i="22"/>
  <c r="D20" i="22"/>
  <c r="D28" i="22" s="1"/>
  <c r="C20" i="22"/>
  <c r="B20" i="22"/>
  <c r="B28" i="22" s="1"/>
  <c r="N19" i="22"/>
  <c r="M19" i="22"/>
  <c r="M28" i="22" s="1"/>
  <c r="L19" i="22"/>
  <c r="K19" i="22"/>
  <c r="K28" i="22" s="1"/>
  <c r="J19" i="22"/>
  <c r="I19" i="22"/>
  <c r="H19" i="22"/>
  <c r="G19" i="22"/>
  <c r="G28" i="22" s="1"/>
  <c r="F19" i="22"/>
  <c r="E19" i="22"/>
  <c r="E28" i="22" s="1"/>
  <c r="D19" i="22"/>
  <c r="C19" i="22"/>
  <c r="C28" i="22" s="1"/>
  <c r="B19" i="22"/>
  <c r="N18" i="22"/>
  <c r="M18" i="22"/>
  <c r="L18" i="22"/>
  <c r="K18" i="22"/>
  <c r="J18" i="22"/>
  <c r="G18" i="22"/>
  <c r="F18" i="22"/>
  <c r="E18" i="22"/>
  <c r="C18" i="22"/>
  <c r="B18" i="22"/>
  <c r="I16" i="22"/>
  <c r="I26" i="22" s="1"/>
  <c r="D16" i="22"/>
  <c r="D26" i="22" s="1"/>
  <c r="I10" i="22"/>
  <c r="I20" i="22" s="1"/>
  <c r="H10" i="22"/>
  <c r="H20" i="22" s="1"/>
  <c r="H28" i="22" s="1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N20" i="20"/>
  <c r="N28" i="20" s="1"/>
  <c r="M20" i="20"/>
  <c r="L20" i="20"/>
  <c r="L28" i="20" s="1"/>
  <c r="K20" i="20"/>
  <c r="J20" i="20"/>
  <c r="J28" i="20" s="1"/>
  <c r="I20" i="20"/>
  <c r="H20" i="20"/>
  <c r="H28" i="20" s="1"/>
  <c r="G20" i="20"/>
  <c r="F20" i="20"/>
  <c r="F28" i="20" s="1"/>
  <c r="E20" i="20"/>
  <c r="D20" i="20"/>
  <c r="D28" i="20" s="1"/>
  <c r="C20" i="20"/>
  <c r="B20" i="20"/>
  <c r="B28" i="20" s="1"/>
  <c r="N19" i="20"/>
  <c r="M19" i="20"/>
  <c r="M28" i="20" s="1"/>
  <c r="L19" i="20"/>
  <c r="K19" i="20"/>
  <c r="K28" i="20" s="1"/>
  <c r="J19" i="20"/>
  <c r="I19" i="20"/>
  <c r="I28" i="20" s="1"/>
  <c r="H19" i="20"/>
  <c r="G19" i="20"/>
  <c r="G28" i="20" s="1"/>
  <c r="F19" i="20"/>
  <c r="E19" i="20"/>
  <c r="E28" i="20" s="1"/>
  <c r="D19" i="20"/>
  <c r="C19" i="20"/>
  <c r="C28" i="20" s="1"/>
  <c r="O30" i="20" s="1"/>
  <c r="B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D10" i="20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N20" i="18"/>
  <c r="N28" i="18" s="1"/>
  <c r="M20" i="18"/>
  <c r="L20" i="18"/>
  <c r="L28" i="18" s="1"/>
  <c r="K20" i="18"/>
  <c r="J20" i="18"/>
  <c r="J28" i="18" s="1"/>
  <c r="I20" i="18"/>
  <c r="H20" i="18"/>
  <c r="H28" i="18" s="1"/>
  <c r="G20" i="18"/>
  <c r="F20" i="18"/>
  <c r="F28" i="18" s="1"/>
  <c r="E20" i="18"/>
  <c r="D20" i="18"/>
  <c r="D28" i="18" s="1"/>
  <c r="C20" i="18"/>
  <c r="B20" i="18"/>
  <c r="B28" i="18" s="1"/>
  <c r="N19" i="18"/>
  <c r="M19" i="18"/>
  <c r="M28" i="18" s="1"/>
  <c r="L19" i="18"/>
  <c r="K19" i="18"/>
  <c r="K28" i="18" s="1"/>
  <c r="J19" i="18"/>
  <c r="I19" i="18"/>
  <c r="I28" i="18" s="1"/>
  <c r="H19" i="18"/>
  <c r="G19" i="18"/>
  <c r="G28" i="18" s="1"/>
  <c r="F19" i="18"/>
  <c r="E19" i="18"/>
  <c r="E28" i="18" s="1"/>
  <c r="D19" i="18"/>
  <c r="C19" i="18"/>
  <c r="C28" i="18" s="1"/>
  <c r="O30" i="18" s="1"/>
  <c r="B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N20" i="16"/>
  <c r="N28" i="16" s="1"/>
  <c r="M20" i="16"/>
  <c r="L20" i="16"/>
  <c r="L28" i="16" s="1"/>
  <c r="K20" i="16"/>
  <c r="J20" i="16"/>
  <c r="J28" i="16" s="1"/>
  <c r="I20" i="16"/>
  <c r="H20" i="16"/>
  <c r="H28" i="16" s="1"/>
  <c r="G20" i="16"/>
  <c r="F20" i="16"/>
  <c r="F28" i="16" s="1"/>
  <c r="E20" i="16"/>
  <c r="D20" i="16"/>
  <c r="D28" i="16" s="1"/>
  <c r="C20" i="16"/>
  <c r="B20" i="16"/>
  <c r="B28" i="16" s="1"/>
  <c r="N19" i="16"/>
  <c r="M19" i="16"/>
  <c r="M28" i="16" s="1"/>
  <c r="L19" i="16"/>
  <c r="K19" i="16"/>
  <c r="K28" i="16" s="1"/>
  <c r="J19" i="16"/>
  <c r="I19" i="16"/>
  <c r="I28" i="16" s="1"/>
  <c r="H19" i="16"/>
  <c r="G19" i="16"/>
  <c r="G28" i="16" s="1"/>
  <c r="F19" i="16"/>
  <c r="E19" i="16"/>
  <c r="E28" i="16" s="1"/>
  <c r="D19" i="16"/>
  <c r="C19" i="16"/>
  <c r="C28" i="16" s="1"/>
  <c r="O30" i="16" s="1"/>
  <c r="B19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N20" i="14"/>
  <c r="M20" i="14"/>
  <c r="M28" i="14" s="1"/>
  <c r="L20" i="14"/>
  <c r="K20" i="14"/>
  <c r="K28" i="14" s="1"/>
  <c r="J20" i="14"/>
  <c r="I20" i="14"/>
  <c r="I28" i="14" s="1"/>
  <c r="H20" i="14"/>
  <c r="G20" i="14"/>
  <c r="G28" i="14" s="1"/>
  <c r="F20" i="14"/>
  <c r="E20" i="14"/>
  <c r="E28" i="14" s="1"/>
  <c r="D20" i="14"/>
  <c r="C20" i="14"/>
  <c r="C28" i="14" s="1"/>
  <c r="B20" i="14"/>
  <c r="N19" i="14"/>
  <c r="N28" i="14" s="1"/>
  <c r="M19" i="14"/>
  <c r="L19" i="14"/>
  <c r="L28" i="14" s="1"/>
  <c r="K19" i="14"/>
  <c r="J19" i="14"/>
  <c r="J28" i="14" s="1"/>
  <c r="I19" i="14"/>
  <c r="H19" i="14"/>
  <c r="H28" i="14" s="1"/>
  <c r="G19" i="14"/>
  <c r="F19" i="14"/>
  <c r="F28" i="14" s="1"/>
  <c r="E19" i="14"/>
  <c r="D19" i="14"/>
  <c r="D28" i="14" s="1"/>
  <c r="C19" i="14"/>
  <c r="B19" i="14"/>
  <c r="B28" i="14" s="1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N20" i="12"/>
  <c r="N28" i="12" s="1"/>
  <c r="M20" i="12"/>
  <c r="L20" i="12"/>
  <c r="L28" i="12" s="1"/>
  <c r="K20" i="12"/>
  <c r="J20" i="12"/>
  <c r="J28" i="12" s="1"/>
  <c r="I20" i="12"/>
  <c r="H20" i="12"/>
  <c r="H28" i="12" s="1"/>
  <c r="G20" i="12"/>
  <c r="F20" i="12"/>
  <c r="F28" i="12" s="1"/>
  <c r="E20" i="12"/>
  <c r="D20" i="12"/>
  <c r="D28" i="12" s="1"/>
  <c r="C20" i="12"/>
  <c r="B20" i="12"/>
  <c r="B28" i="12" s="1"/>
  <c r="N19" i="12"/>
  <c r="M19" i="12"/>
  <c r="M28" i="12" s="1"/>
  <c r="L19" i="12"/>
  <c r="K19" i="12"/>
  <c r="K28" i="12" s="1"/>
  <c r="J19" i="12"/>
  <c r="I19" i="12"/>
  <c r="I28" i="12" s="1"/>
  <c r="H19" i="12"/>
  <c r="G19" i="12"/>
  <c r="G28" i="12" s="1"/>
  <c r="F19" i="12"/>
  <c r="E19" i="12"/>
  <c r="E28" i="12" s="1"/>
  <c r="D19" i="12"/>
  <c r="C19" i="12"/>
  <c r="C28" i="12" s="1"/>
  <c r="O30" i="12" s="1"/>
  <c r="B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N20" i="10"/>
  <c r="N28" i="10" s="1"/>
  <c r="M20" i="10"/>
  <c r="L20" i="10"/>
  <c r="L28" i="10" s="1"/>
  <c r="K20" i="10"/>
  <c r="J20" i="10"/>
  <c r="J28" i="10" s="1"/>
  <c r="I20" i="10"/>
  <c r="H20" i="10"/>
  <c r="H28" i="10" s="1"/>
  <c r="G20" i="10"/>
  <c r="F20" i="10"/>
  <c r="F28" i="10" s="1"/>
  <c r="E20" i="10"/>
  <c r="D20" i="10"/>
  <c r="D28" i="10" s="1"/>
  <c r="B20" i="10"/>
  <c r="B28" i="10" s="1"/>
  <c r="N19" i="10"/>
  <c r="M19" i="10"/>
  <c r="M28" i="10" s="1"/>
  <c r="L19" i="10"/>
  <c r="K19" i="10"/>
  <c r="K28" i="10" s="1"/>
  <c r="J19" i="10"/>
  <c r="I19" i="10"/>
  <c r="I28" i="10" s="1"/>
  <c r="H19" i="10"/>
  <c r="G19" i="10"/>
  <c r="G28" i="10" s="1"/>
  <c r="F19" i="10"/>
  <c r="E19" i="10"/>
  <c r="E28" i="10" s="1"/>
  <c r="D19" i="10"/>
  <c r="C19" i="10"/>
  <c r="B19" i="10"/>
  <c r="N18" i="10"/>
  <c r="M18" i="10"/>
  <c r="L18" i="10"/>
  <c r="K18" i="10"/>
  <c r="J18" i="10"/>
  <c r="I18" i="10"/>
  <c r="H18" i="10"/>
  <c r="G18" i="10"/>
  <c r="F18" i="10"/>
  <c r="E18" i="10"/>
  <c r="D18" i="10"/>
  <c r="B18" i="10"/>
  <c r="H10" i="10"/>
  <c r="C10" i="10"/>
  <c r="C20" i="10" s="1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N19" i="8"/>
  <c r="N28" i="8" s="1"/>
  <c r="M19" i="8"/>
  <c r="M28" i="8" s="1"/>
  <c r="L19" i="8"/>
  <c r="L28" i="8" s="1"/>
  <c r="K19" i="8"/>
  <c r="K28" i="8" s="1"/>
  <c r="J19" i="8"/>
  <c r="J28" i="8" s="1"/>
  <c r="I19" i="8"/>
  <c r="I28" i="8" s="1"/>
  <c r="H19" i="8"/>
  <c r="H28" i="8" s="1"/>
  <c r="G19" i="8"/>
  <c r="G28" i="8" s="1"/>
  <c r="F19" i="8"/>
  <c r="F28" i="8" s="1"/>
  <c r="E19" i="8"/>
  <c r="E28" i="8" s="1"/>
  <c r="D19" i="8"/>
  <c r="D28" i="8" s="1"/>
  <c r="C19" i="8"/>
  <c r="C28" i="8" s="1"/>
  <c r="O30" i="8" s="1"/>
  <c r="B19" i="8"/>
  <c r="B28" i="8" s="1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N28" i="6" s="1"/>
  <c r="M20" i="6"/>
  <c r="L20" i="6"/>
  <c r="L28" i="6" s="1"/>
  <c r="K20" i="6"/>
  <c r="J20" i="6"/>
  <c r="J28" i="6" s="1"/>
  <c r="I20" i="6"/>
  <c r="H20" i="6"/>
  <c r="H28" i="6" s="1"/>
  <c r="G20" i="6"/>
  <c r="F20" i="6"/>
  <c r="F28" i="6" s="1"/>
  <c r="E20" i="6"/>
  <c r="D20" i="6"/>
  <c r="D28" i="6" s="1"/>
  <c r="C20" i="6"/>
  <c r="B20" i="6"/>
  <c r="B28" i="6" s="1"/>
  <c r="N19" i="6"/>
  <c r="M19" i="6"/>
  <c r="M28" i="6" s="1"/>
  <c r="L19" i="6"/>
  <c r="K19" i="6"/>
  <c r="K28" i="6" s="1"/>
  <c r="J19" i="6"/>
  <c r="I19" i="6"/>
  <c r="I28" i="6" s="1"/>
  <c r="H19" i="6"/>
  <c r="G19" i="6"/>
  <c r="G28" i="6" s="1"/>
  <c r="F19" i="6"/>
  <c r="E19" i="6"/>
  <c r="E28" i="6" s="1"/>
  <c r="D19" i="6"/>
  <c r="C19" i="6"/>
  <c r="C28" i="6" s="1"/>
  <c r="O30" i="6" s="1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N28" i="4" s="1"/>
  <c r="M20" i="4"/>
  <c r="L20" i="4"/>
  <c r="L28" i="4" s="1"/>
  <c r="K20" i="4"/>
  <c r="J20" i="4"/>
  <c r="J28" i="4" s="1"/>
  <c r="I20" i="4"/>
  <c r="H20" i="4"/>
  <c r="H28" i="4" s="1"/>
  <c r="G20" i="4"/>
  <c r="F20" i="4"/>
  <c r="F28" i="4" s="1"/>
  <c r="E20" i="4"/>
  <c r="D20" i="4"/>
  <c r="D28" i="4" s="1"/>
  <c r="C20" i="4"/>
  <c r="B20" i="4"/>
  <c r="B28" i="4" s="1"/>
  <c r="N19" i="4"/>
  <c r="M19" i="4"/>
  <c r="M28" i="4" s="1"/>
  <c r="L19" i="4"/>
  <c r="K19" i="4"/>
  <c r="K28" i="4" s="1"/>
  <c r="J19" i="4"/>
  <c r="I19" i="4"/>
  <c r="I28" i="4" s="1"/>
  <c r="H19" i="4"/>
  <c r="G19" i="4"/>
  <c r="G28" i="4" s="1"/>
  <c r="F19" i="4"/>
  <c r="E19" i="4"/>
  <c r="E28" i="4" s="1"/>
  <c r="D19" i="4"/>
  <c r="C19" i="4"/>
  <c r="C28" i="4" s="1"/>
  <c r="O30" i="4" s="1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2" i="4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N28" i="2" s="1"/>
  <c r="M20" i="2"/>
  <c r="L20" i="2"/>
  <c r="L28" i="2" s="1"/>
  <c r="K20" i="2"/>
  <c r="J20" i="2"/>
  <c r="J28" i="2" s="1"/>
  <c r="I20" i="2"/>
  <c r="H20" i="2"/>
  <c r="H28" i="2" s="1"/>
  <c r="G20" i="2"/>
  <c r="F20" i="2"/>
  <c r="F28" i="2" s="1"/>
  <c r="E20" i="2"/>
  <c r="D20" i="2"/>
  <c r="D28" i="2" s="1"/>
  <c r="C20" i="2"/>
  <c r="B20" i="2"/>
  <c r="B28" i="2" s="1"/>
  <c r="N19" i="2"/>
  <c r="M19" i="2"/>
  <c r="M28" i="2" s="1"/>
  <c r="L19" i="2"/>
  <c r="K19" i="2"/>
  <c r="K28" i="2" s="1"/>
  <c r="J19" i="2"/>
  <c r="I19" i="2"/>
  <c r="I28" i="2" s="1"/>
  <c r="H19" i="2"/>
  <c r="G19" i="2"/>
  <c r="G28" i="2" s="1"/>
  <c r="F19" i="2"/>
  <c r="E19" i="2"/>
  <c r="E28" i="2" s="1"/>
  <c r="D19" i="2"/>
  <c r="C19" i="2"/>
  <c r="C28" i="2" s="1"/>
  <c r="O30" i="2" s="1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O30" i="24" l="1"/>
  <c r="H18" i="24"/>
  <c r="I28" i="22"/>
  <c r="O30" i="22" s="1"/>
  <c r="D18" i="22"/>
  <c r="H18" i="22"/>
  <c r="I18" i="22"/>
  <c r="O30" i="14"/>
  <c r="C28" i="10"/>
  <c r="O30" i="10" s="1"/>
  <c r="C18" i="10"/>
</calcChain>
</file>

<file path=xl/sharedStrings.xml><?xml version="1.0" encoding="utf-8"?>
<sst xmlns="http://schemas.openxmlformats.org/spreadsheetml/2006/main" count="1231" uniqueCount="119">
  <si>
    <t>TRUNG TÂM BÁC SĨ GIA ĐÌNH HÀ NỘI</t>
  </si>
  <si>
    <t>Số 75 - Hồ Mễ Trì - Từ Liêm - Hà Nội</t>
  </si>
  <si>
    <t>BẢNG LƯƠNG CÁN BỘ CÔNG NHÂN VIÊN</t>
  </si>
  <si>
    <t xml:space="preserve">                                          </t>
  </si>
  <si>
    <t>Tháng 12 năm 2014</t>
  </si>
  <si>
    <t>STT</t>
  </si>
  <si>
    <t>Họ và tên</t>
  </si>
  <si>
    <t>CV</t>
  </si>
  <si>
    <t>Tăng lương thâm niên</t>
  </si>
  <si>
    <t>Lương 
Doanh số</t>
  </si>
  <si>
    <t>Ngày công</t>
  </si>
  <si>
    <t>Trực + 
Thêm giờ</t>
  </si>
  <si>
    <t>KSK</t>
  </si>
  <si>
    <t>CPDL</t>
  </si>
  <si>
    <t>Thưởng</t>
  </si>
  <si>
    <t>Phụ cấp</t>
  </si>
  <si>
    <t>Thưởng  doanh số</t>
  </si>
  <si>
    <t>Tổng 
lương</t>
  </si>
  <si>
    <t>Đặt 
cọc</t>
  </si>
  <si>
    <t>Các khoản giảm trừ</t>
  </si>
  <si>
    <t>Tổng giảm trừ</t>
  </si>
  <si>
    <t>Thực lĩnh</t>
  </si>
  <si>
    <t>Phí học Chứng chỉ</t>
  </si>
  <si>
    <t>Còn lại</t>
  </si>
  <si>
    <t>Mức 
phụ cấp</t>
  </si>
  <si>
    <t>Công trực</t>
  </si>
  <si>
    <t>Thêm 
giờ</t>
  </si>
  <si>
    <t>Thành tiền</t>
  </si>
  <si>
    <t>Ký nhận</t>
  </si>
  <si>
    <t>CN, ngày lễ</t>
  </si>
  <si>
    <t xml:space="preserve">Hỗ trợ </t>
  </si>
  <si>
    <t>LX</t>
  </si>
  <si>
    <t>BHXH</t>
  </si>
  <si>
    <t>Ăn trưa</t>
  </si>
  <si>
    <t>Điện thoại</t>
  </si>
  <si>
    <t>Phí TV</t>
  </si>
  <si>
    <t>KP
CĐ</t>
  </si>
  <si>
    <t>Ăn trưa (đóng tháng TT)</t>
  </si>
  <si>
    <t>Điện 
thoại</t>
  </si>
  <si>
    <t>Phạt</t>
  </si>
  <si>
    <t>Thuế TNCN</t>
  </si>
  <si>
    <t>Nguyễn Bá Vệ</t>
  </si>
  <si>
    <t>ĐDV</t>
  </si>
  <si>
    <t>Hoàng Ngọc Anh</t>
  </si>
  <si>
    <t>Đặng Thị Hậu</t>
  </si>
  <si>
    <t>XNV</t>
  </si>
  <si>
    <t>Nguyễn Thị Hoài</t>
  </si>
  <si>
    <t>Đặng Thị Loan</t>
  </si>
  <si>
    <t>Nguyễn Sao Mai</t>
  </si>
  <si>
    <t>Nguyễn Thị Thúy</t>
  </si>
  <si>
    <t>Trần Quốc Trung</t>
  </si>
  <si>
    <t>Đỗ Huỳnh Hà Anh</t>
  </si>
  <si>
    <t>Vào từ T10.2023</t>
  </si>
  <si>
    <t>T1 tính Thâm niên</t>
  </si>
  <si>
    <t>Tổng</t>
  </si>
  <si>
    <t>Hà Nội, ngày 12 tháng 10 năm 2016</t>
  </si>
  <si>
    <t>Thủ trưởng đơn vị</t>
  </si>
  <si>
    <t>Kế toán trưởng</t>
  </si>
  <si>
    <t>Người lập biểu</t>
  </si>
  <si>
    <t>Hoàng Thị Mai Phương</t>
  </si>
  <si>
    <t>Hoàng Bình Minh</t>
  </si>
  <si>
    <t>Bùi Thị Thoa</t>
  </si>
  <si>
    <t>BS Hưng</t>
  </si>
  <si>
    <t>1. Lương tăng lên 600k từ 8h sáng đến 8h tối</t>
  </si>
  <si>
    <t>Từ chiều đến 8h tối hưởng 250k (cái này chưa tăng -&gt; Hỏi lại Bs Cúc)</t>
  </si>
  <si>
    <t>Trực từ 17h đến 20h tính 200k</t>
  </si>
  <si>
    <t>TRUNG TÂM BÁC SĨ GIA ĐÌNH HÀ NỘI</t>
  </si>
  <si>
    <t>75 Đường Hồ Mễ Trì - Trung Văn - Từ Liêm - Hà Nội</t>
  </si>
  <si>
    <t>DOANH SỐ NHÂN VIÊN THÁNG 1 NĂM 2025</t>
  </si>
  <si>
    <t>Thúy</t>
  </si>
  <si>
    <t>Vệ</t>
  </si>
  <si>
    <t>Ngọc Anh</t>
  </si>
  <si>
    <t>Trung</t>
  </si>
  <si>
    <t>Hà Anh</t>
  </si>
  <si>
    <t>Hoài</t>
  </si>
  <si>
    <t>Sao Mai</t>
  </si>
  <si>
    <t>Loan</t>
  </si>
  <si>
    <t>Số tiền khám(Ẩn đi)</t>
  </si>
  <si>
    <t>Lần đưa BS đi khám</t>
  </si>
  <si>
    <t>Tiêm - Truyền</t>
  </si>
  <si>
    <t>Tiêm - Truyền NG</t>
  </si>
  <si>
    <t>Xét Nghiệm</t>
  </si>
  <si>
    <t>Khác (sonde, thay băng,.....)</t>
  </si>
  <si>
    <t>Vận chuyển cấp cứu</t>
  </si>
  <si>
    <t>Xoa bóp bấm huyệt, nặn tắc</t>
  </si>
  <si>
    <t>Trực sự kiện + tang lễ</t>
  </si>
  <si>
    <t>Chăm sóc BN</t>
  </si>
  <si>
    <t>Đưa BS đi khám</t>
  </si>
  <si>
    <t>XN</t>
  </si>
  <si>
    <t>Xoa bóp bấm huyệt</t>
  </si>
  <si>
    <t>Tạm ứng</t>
  </si>
  <si>
    <t>DOANH SỐ NHÂN VIÊN THÁNG 2 NĂM 2025</t>
  </si>
  <si>
    <t>DOANH SỐ NHÂN VIÊN THÁNG 3 NĂM 2025</t>
  </si>
  <si>
    <t xml:space="preserve">Tháng 1 năm 2025 (20 công) </t>
  </si>
  <si>
    <t xml:space="preserve">Tháng 2 năm 2025 (22 công) </t>
  </si>
  <si>
    <t xml:space="preserve">Tháng 3 năm 2025 (25 công) </t>
  </si>
  <si>
    <t xml:space="preserve">Tháng 4 năm 2025 (23 công) </t>
  </si>
  <si>
    <t>DOANH SỐ NHÂN VIÊN THÁNG 4 NĂM 2025</t>
  </si>
  <si>
    <t xml:space="preserve">Tháng 5 năm 2025 (25 công) </t>
  </si>
  <si>
    <t>DOANH SỐ NHÂN VIÊN THÁNG 5 NĂM 2025</t>
  </si>
  <si>
    <t xml:space="preserve">Tháng 6 năm 2025 (24 công) </t>
  </si>
  <si>
    <t>DOANH SỐ NHÂN VIÊN THÁNG 6 NĂM 2025</t>
  </si>
  <si>
    <t xml:space="preserve">Tháng 7 năm 2025 (26 công) </t>
  </si>
  <si>
    <t>DOANH SỐ NHÂN VIÊN THÁNG 7 NĂM 2025</t>
  </si>
  <si>
    <t xml:space="preserve">Tháng 8 năm 2025 (25 công) </t>
  </si>
  <si>
    <t>DOANH SỐ NHÂN VIÊN THÁNG 8 NĂM 2025</t>
  </si>
  <si>
    <t>Ủng hộ lũ lụt</t>
  </si>
  <si>
    <t xml:space="preserve">Tháng 9 năm 2025 (23 công) </t>
  </si>
  <si>
    <t>DOANH SỐ NHÂN VIÊN THÁNG 9 NĂM 2025</t>
  </si>
  <si>
    <t>Tạm Ứng</t>
  </si>
  <si>
    <t xml:space="preserve">Giảm trừ </t>
  </si>
  <si>
    <t>Hà Nội, ngày 15 tháng 11 năm 2025</t>
  </si>
  <si>
    <t xml:space="preserve">Tháng 10 năm 2025 (26 công) </t>
  </si>
  <si>
    <t>DOANH SỐ NHÂN VIÊN THÁNG 10 NĂM 2025</t>
  </si>
  <si>
    <t xml:space="preserve">Tháng 11 năm 2025 (24 công) </t>
  </si>
  <si>
    <t>DOANH SỐ NHÂN VIÊN THÁNG 11 NĂM 2025</t>
  </si>
  <si>
    <t>Giảm trừ</t>
  </si>
  <si>
    <t xml:space="preserve">Tháng 12 năm 2025 (26 công) </t>
  </si>
  <si>
    <t>DOANH SỐ NHÂN VIÊN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</si>
</sst>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00"/>
    <numFmt numFmtId="167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1"/>
      <name val="Times New Roman"/>
      <family val="1"/>
    </font>
    <font>
      <sz val="11.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165" fontId="2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64" fontId="3" fillId="2" borderId="0" xfId="1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3" fillId="2" borderId="7" xfId="0" applyFont="1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 wrapText="1"/>
    </xf>
    <xf numFmtId="165" fontId="2" fillId="2" borderId="9" xfId="1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6" fontId="2" fillId="2" borderId="9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164" fontId="2" fillId="2" borderId="11" xfId="1" applyNumberFormat="1" applyFont="1" applyFill="1" applyBorder="1" applyAlignment="1">
      <alignment horizontal="center" vertical="center" wrapText="1"/>
    </xf>
    <xf numFmtId="165" fontId="2" fillId="2" borderId="11" xfId="1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66" fontId="2" fillId="2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164" fontId="7" fillId="2" borderId="4" xfId="1" applyNumberFormat="1" applyFont="1" applyFill="1" applyBorder="1" applyAlignment="1">
      <alignment vertical="center"/>
    </xf>
    <xf numFmtId="165" fontId="7" fillId="2" borderId="4" xfId="1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164" fontId="3" fillId="2" borderId="4" xfId="1" applyNumberFormat="1" applyFont="1" applyFill="1" applyBorder="1" applyAlignment="1">
      <alignment vertical="center"/>
    </xf>
    <xf numFmtId="164" fontId="7" fillId="0" borderId="4" xfId="1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1" fontId="3" fillId="2" borderId="4" xfId="0" applyNumberFormat="1" applyFont="1" applyFill="1" applyBorder="1" applyAlignment="1">
      <alignment horizontal="right" vertical="center"/>
    </xf>
    <xf numFmtId="164" fontId="9" fillId="2" borderId="4" xfId="1" applyNumberFormat="1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vertical="center"/>
    </xf>
    <xf numFmtId="164" fontId="3" fillId="2" borderId="4" xfId="1" applyNumberFormat="1" applyFont="1" applyFill="1" applyBorder="1" applyAlignment="1">
      <alignment horizontal="right" vertical="center"/>
    </xf>
    <xf numFmtId="164" fontId="2" fillId="2" borderId="4" xfId="1" applyNumberFormat="1" applyFont="1" applyFill="1" applyBorder="1" applyAlignment="1">
      <alignment vertical="center"/>
    </xf>
    <xf numFmtId="164" fontId="7" fillId="2" borderId="4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vertical="center"/>
    </xf>
    <xf numFmtId="0" fontId="3" fillId="2" borderId="4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7" fillId="2" borderId="4" xfId="1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43" fontId="3" fillId="4" borderId="0" xfId="0" applyNumberFormat="1" applyFont="1" applyFill="1" applyAlignment="1">
      <alignment vertical="center"/>
    </xf>
    <xf numFmtId="3" fontId="2" fillId="2" borderId="4" xfId="0" applyNumberFormat="1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right" vertical="center"/>
    </xf>
    <xf numFmtId="165" fontId="2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 vertical="center"/>
    </xf>
    <xf numFmtId="165" fontId="2" fillId="2" borderId="0" xfId="1" applyNumberFormat="1" applyFont="1" applyFill="1" applyBorder="1" applyAlignment="1">
      <alignment horizontal="right" vertical="center"/>
    </xf>
    <xf numFmtId="166" fontId="2" fillId="2" borderId="0" xfId="0" applyNumberFormat="1" applyFont="1" applyFill="1" applyBorder="1" applyAlignment="1">
      <alignment horizontal="right" vertical="center"/>
    </xf>
    <xf numFmtId="166" fontId="11" fillId="2" borderId="0" xfId="0" applyNumberFormat="1" applyFont="1" applyFill="1" applyBorder="1" applyAlignment="1">
      <alignment horizontal="left" vertical="center"/>
    </xf>
    <xf numFmtId="165" fontId="2" fillId="2" borderId="0" xfId="1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43" fontId="3" fillId="2" borderId="0" xfId="0" applyNumberFormat="1" applyFont="1" applyFill="1" applyAlignment="1">
      <alignment vertical="center"/>
    </xf>
    <xf numFmtId="164" fontId="2" fillId="2" borderId="0" xfId="1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12" fillId="2" borderId="0" xfId="0" applyNumberFormat="1" applyFont="1" applyFill="1" applyAlignment="1">
      <alignment vertical="center"/>
    </xf>
    <xf numFmtId="165" fontId="12" fillId="2" borderId="0" xfId="1" applyNumberFormat="1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6" fontId="12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43" fontId="12" fillId="2" borderId="0" xfId="1" applyFont="1" applyFill="1" applyAlignment="1">
      <alignment vertical="center"/>
    </xf>
    <xf numFmtId="43" fontId="13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43" fontId="2" fillId="2" borderId="0" xfId="0" applyNumberFormat="1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  <xf numFmtId="166" fontId="3" fillId="2" borderId="0" xfId="1" applyNumberFormat="1" applyFont="1" applyFill="1" applyAlignment="1">
      <alignment vertical="center"/>
    </xf>
    <xf numFmtId="0" fontId="3" fillId="2" borderId="0" xfId="1" applyNumberFormat="1" applyFont="1" applyFill="1" applyAlignment="1">
      <alignment horizontal="center" vertical="center"/>
    </xf>
    <xf numFmtId="0" fontId="3" fillId="2" borderId="0" xfId="0" applyFont="1" applyFill="1"/>
    <xf numFmtId="164" fontId="3" fillId="2" borderId="0" xfId="1" applyNumberFormat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3" fillId="0" borderId="0" xfId="2" applyNumberFormat="1" applyFont="1" applyAlignment="1">
      <alignment vertical="center" wrapText="1"/>
    </xf>
    <xf numFmtId="164" fontId="3" fillId="0" borderId="0" xfId="2" applyNumberFormat="1" applyFont="1" applyAlignment="1">
      <alignment vertical="center"/>
    </xf>
    <xf numFmtId="164" fontId="14" fillId="0" borderId="0" xfId="2" applyNumberFormat="1" applyFont="1" applyAlignment="1">
      <alignment vertical="center"/>
    </xf>
    <xf numFmtId="0" fontId="0" fillId="0" borderId="0" xfId="0" applyAlignment="1">
      <alignment vertical="center"/>
    </xf>
    <xf numFmtId="164" fontId="2" fillId="0" borderId="0" xfId="2" applyNumberFormat="1" applyFont="1" applyAlignment="1">
      <alignment vertical="center" wrapText="1"/>
    </xf>
    <xf numFmtId="164" fontId="2" fillId="0" borderId="0" xfId="2" applyNumberFormat="1" applyFont="1" applyAlignment="1">
      <alignment vertical="center"/>
    </xf>
    <xf numFmtId="164" fontId="15" fillId="0" borderId="0" xfId="2" applyNumberFormat="1" applyFont="1" applyAlignment="1">
      <alignment vertical="center"/>
    </xf>
    <xf numFmtId="164" fontId="16" fillId="0" borderId="0" xfId="2" applyNumberFormat="1" applyFont="1" applyAlignment="1">
      <alignment horizontal="center" vertical="center"/>
    </xf>
    <xf numFmtId="164" fontId="17" fillId="0" borderId="0" xfId="2" applyNumberFormat="1" applyFont="1" applyAlignment="1">
      <alignment vertical="center"/>
    </xf>
    <xf numFmtId="164" fontId="17" fillId="0" borderId="0" xfId="2" applyNumberFormat="1" applyFont="1" applyAlignment="1">
      <alignment vertical="center" wrapText="1"/>
    </xf>
    <xf numFmtId="164" fontId="2" fillId="0" borderId="4" xfId="2" applyNumberFormat="1" applyFont="1" applyBorder="1" applyAlignment="1">
      <alignment horizontal="center" vertical="center" wrapText="1"/>
    </xf>
    <xf numFmtId="164" fontId="2" fillId="2" borderId="4" xfId="2" applyNumberFormat="1" applyFont="1" applyFill="1" applyBorder="1" applyAlignment="1">
      <alignment horizontal="center" vertic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0" fontId="18" fillId="0" borderId="0" xfId="0" applyFont="1"/>
    <xf numFmtId="164" fontId="19" fillId="0" borderId="4" xfId="2" applyNumberFormat="1" applyFont="1" applyBorder="1" applyAlignment="1">
      <alignment vertical="center" wrapText="1"/>
    </xf>
    <xf numFmtId="164" fontId="20" fillId="2" borderId="4" xfId="2" applyNumberFormat="1" applyFont="1" applyFill="1" applyBorder="1" applyAlignment="1">
      <alignment vertical="center"/>
    </xf>
    <xf numFmtId="164" fontId="13" fillId="2" borderId="4" xfId="2" applyNumberFormat="1" applyFont="1" applyFill="1" applyBorder="1" applyAlignment="1">
      <alignment vertical="center"/>
    </xf>
    <xf numFmtId="164" fontId="20" fillId="0" borderId="4" xfId="2" applyNumberFormat="1" applyFont="1" applyBorder="1" applyAlignment="1">
      <alignment vertical="center"/>
    </xf>
    <xf numFmtId="164" fontId="21" fillId="0" borderId="0" xfId="2" applyNumberFormat="1" applyFont="1" applyAlignment="1">
      <alignment vertical="center"/>
    </xf>
    <xf numFmtId="164" fontId="20" fillId="0" borderId="4" xfId="2" applyNumberFormat="1" applyFont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64" fontId="21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0" fillId="5" borderId="4" xfId="2" applyNumberFormat="1" applyFont="1" applyFill="1" applyBorder="1" applyAlignment="1">
      <alignment vertical="center" wrapText="1"/>
    </xf>
    <xf numFmtId="164" fontId="20" fillId="5" borderId="4" xfId="2" applyNumberFormat="1" applyFont="1" applyFill="1" applyBorder="1" applyAlignment="1">
      <alignment vertical="center"/>
    </xf>
    <xf numFmtId="164" fontId="13" fillId="5" borderId="4" xfId="2" applyNumberFormat="1" applyFont="1" applyFill="1" applyBorder="1" applyAlignment="1">
      <alignment vertical="center"/>
    </xf>
    <xf numFmtId="164" fontId="21" fillId="5" borderId="4" xfId="2" applyNumberFormat="1" applyFont="1" applyFill="1" applyBorder="1" applyAlignment="1">
      <alignment vertical="center"/>
    </xf>
    <xf numFmtId="164" fontId="20" fillId="6" borderId="4" xfId="2" applyNumberFormat="1" applyFont="1" applyFill="1" applyBorder="1" applyAlignment="1">
      <alignment vertical="center" wrapText="1"/>
    </xf>
    <xf numFmtId="164" fontId="20" fillId="6" borderId="4" xfId="2" applyNumberFormat="1" applyFont="1" applyFill="1" applyBorder="1" applyAlignment="1">
      <alignment vertical="center"/>
    </xf>
    <xf numFmtId="164" fontId="13" fillId="6" borderId="4" xfId="2" applyNumberFormat="1" applyFont="1" applyFill="1" applyBorder="1" applyAlignment="1">
      <alignment vertical="center"/>
    </xf>
    <xf numFmtId="164" fontId="21" fillId="6" borderId="4" xfId="2" applyNumberFormat="1" applyFont="1" applyFill="1" applyBorder="1" applyAlignment="1">
      <alignment vertical="center"/>
    </xf>
    <xf numFmtId="164" fontId="20" fillId="0" borderId="4" xfId="2" applyNumberFormat="1" applyFont="1" applyBorder="1" applyAlignment="1">
      <alignment vertical="center" wrapText="1"/>
    </xf>
    <xf numFmtId="164" fontId="21" fillId="2" borderId="4" xfId="2" applyNumberFormat="1" applyFont="1" applyFill="1" applyBorder="1" applyAlignment="1">
      <alignment vertical="center"/>
    </xf>
    <xf numFmtId="164" fontId="21" fillId="0" borderId="4" xfId="2" applyNumberFormat="1" applyFont="1" applyBorder="1" applyAlignment="1">
      <alignment vertical="center"/>
    </xf>
    <xf numFmtId="164" fontId="22" fillId="0" borderId="0" xfId="2" applyNumberFormat="1" applyFont="1" applyAlignment="1">
      <alignment vertical="center"/>
    </xf>
    <xf numFmtId="164" fontId="12" fillId="0" borderId="4" xfId="2" applyNumberFormat="1" applyFont="1" applyBorder="1" applyAlignment="1">
      <alignment vertical="center" wrapText="1"/>
    </xf>
    <xf numFmtId="164" fontId="12" fillId="2" borderId="4" xfId="2" applyNumberFormat="1" applyFont="1" applyFill="1" applyBorder="1" applyAlignment="1">
      <alignment vertical="center"/>
    </xf>
    <xf numFmtId="164" fontId="20" fillId="7" borderId="4" xfId="2" applyNumberFormat="1" applyFont="1" applyFill="1" applyBorder="1" applyAlignment="1">
      <alignment vertical="center"/>
    </xf>
    <xf numFmtId="164" fontId="20" fillId="2" borderId="4" xfId="2" applyNumberFormat="1" applyFont="1" applyFill="1" applyBorder="1" applyAlignment="1">
      <alignment vertical="center" wrapText="1"/>
    </xf>
    <xf numFmtId="164" fontId="23" fillId="0" borderId="0" xfId="2" applyNumberFormat="1" applyFont="1" applyAlignment="1">
      <alignment vertical="center"/>
    </xf>
    <xf numFmtId="164" fontId="12" fillId="0" borderId="4" xfId="2" applyNumberFormat="1" applyFont="1" applyBorder="1" applyAlignment="1">
      <alignment vertical="center"/>
    </xf>
    <xf numFmtId="164" fontId="23" fillId="0" borderId="0" xfId="2" applyNumberFormat="1" applyFont="1" applyAlignment="1">
      <alignment vertical="center" wrapText="1"/>
    </xf>
    <xf numFmtId="0" fontId="23" fillId="0" borderId="0" xfId="0" applyFont="1" applyAlignment="1">
      <alignment vertical="center"/>
    </xf>
    <xf numFmtId="164" fontId="24" fillId="0" borderId="0" xfId="2" applyNumberFormat="1" applyFont="1" applyAlignment="1">
      <alignment horizontal="center" vertical="center"/>
    </xf>
    <xf numFmtId="164" fontId="0" fillId="0" borderId="0" xfId="0" applyNumberFormat="1"/>
    <xf numFmtId="164" fontId="2" fillId="4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66675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81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47625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724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2" name="Picture 6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209550</xdr:colOff>
      <xdr:row>0</xdr:row>
      <xdr:rowOff>28575</xdr:rowOff>
    </xdr:to>
    <xdr:pic>
      <xdr:nvPicPr>
        <xdr:cNvPr id="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8288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3</xdr:col>
      <xdr:colOff>133350</xdr:colOff>
      <xdr:row>0</xdr:row>
      <xdr:rowOff>28575</xdr:rowOff>
    </xdr:to>
    <xdr:pic>
      <xdr:nvPicPr>
        <xdr:cNvPr id="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7526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2" name="Picture 12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1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2" name="Picture 18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1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1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13</xdr:col>
      <xdr:colOff>76200</xdr:colOff>
      <xdr:row>0</xdr:row>
      <xdr:rowOff>28575</xdr:rowOff>
    </xdr:to>
    <xdr:pic>
      <xdr:nvPicPr>
        <xdr:cNvPr id="2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77914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4</xdr:col>
      <xdr:colOff>542925</xdr:colOff>
      <xdr:row>0</xdr:row>
      <xdr:rowOff>28575</xdr:rowOff>
    </xdr:to>
    <xdr:pic>
      <xdr:nvPicPr>
        <xdr:cNvPr id="2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27717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14</xdr:col>
      <xdr:colOff>57150</xdr:colOff>
      <xdr:row>0</xdr:row>
      <xdr:rowOff>28575</xdr:rowOff>
    </xdr:to>
    <xdr:pic>
      <xdr:nvPicPr>
        <xdr:cNvPr id="2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8382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7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8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29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0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1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2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9525</xdr:colOff>
      <xdr:row>0</xdr:row>
      <xdr:rowOff>28575</xdr:rowOff>
    </xdr:to>
    <xdr:pic>
      <xdr:nvPicPr>
        <xdr:cNvPr id="33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4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5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0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1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4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6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8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9525</xdr:rowOff>
    </xdr:from>
    <xdr:to>
      <xdr:col>2</xdr:col>
      <xdr:colOff>0</xdr:colOff>
      <xdr:row>0</xdr:row>
      <xdr:rowOff>28575</xdr:rowOff>
    </xdr:to>
    <xdr:pic>
      <xdr:nvPicPr>
        <xdr:cNvPr id="369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10096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7"/>
  <sheetViews>
    <sheetView tabSelected="1" workbookViewId="0">
      <selection activeCell="J23" sqref="J22:J23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7.4257812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9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9.71093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93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22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6635.6200000000008</v>
      </c>
      <c r="F8" s="55">
        <v>21</v>
      </c>
      <c r="G8" s="56">
        <v>1000</v>
      </c>
      <c r="H8" s="54">
        <v>1329</v>
      </c>
      <c r="I8" s="54">
        <v>443</v>
      </c>
      <c r="J8" s="57"/>
      <c r="K8" s="54">
        <v>600</v>
      </c>
      <c r="L8" s="6">
        <v>200</v>
      </c>
      <c r="M8" s="54">
        <v>1500</v>
      </c>
      <c r="N8" s="58">
        <v>1141.048</v>
      </c>
      <c r="O8" s="54">
        <v>630</v>
      </c>
      <c r="P8" s="54">
        <v>100</v>
      </c>
      <c r="Q8" s="59"/>
      <c r="R8" s="60">
        <v>153</v>
      </c>
      <c r="S8" s="61">
        <v>14676.668000000001</v>
      </c>
      <c r="T8" s="62"/>
      <c r="U8" s="63">
        <v>1698.3040000000001</v>
      </c>
      <c r="V8" s="53">
        <v>30</v>
      </c>
      <c r="W8" s="54">
        <v>630</v>
      </c>
      <c r="X8" s="54">
        <v>160</v>
      </c>
      <c r="Y8" s="64"/>
      <c r="Z8" s="64"/>
      <c r="AA8" s="65">
        <v>2518.3040000000001</v>
      </c>
      <c r="AB8" s="65">
        <v>12158.364000000001</v>
      </c>
      <c r="AC8" s="66">
        <v>1800</v>
      </c>
      <c r="AD8" s="65">
        <v>10358.364000000001</v>
      </c>
      <c r="AE8" s="67">
        <v>6635.6200000000008</v>
      </c>
      <c r="AF8" s="51"/>
      <c r="AG8" s="68"/>
      <c r="AH8" s="69"/>
      <c r="AI8" s="70"/>
      <c r="AJ8" s="71"/>
      <c r="AK8" s="72"/>
      <c r="AL8" s="57"/>
      <c r="AM8" s="70"/>
      <c r="AN8" s="73">
        <v>-364.3799999999992</v>
      </c>
      <c r="AO8" s="73">
        <v>-109.31399999999975</v>
      </c>
      <c r="AR8" s="73">
        <v>14519.168000000001</v>
      </c>
      <c r="AS8" s="73">
        <v>157.5</v>
      </c>
      <c r="AT8" s="74">
        <v>2518.3040000000001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800</v>
      </c>
      <c r="E9" s="54">
        <v>8846.76</v>
      </c>
      <c r="F9" s="55">
        <v>24</v>
      </c>
      <c r="G9" s="56">
        <v>1090</v>
      </c>
      <c r="H9" s="54">
        <v>0</v>
      </c>
      <c r="I9" s="54">
        <v>924</v>
      </c>
      <c r="J9" s="57"/>
      <c r="K9" s="54">
        <v>500</v>
      </c>
      <c r="L9" s="75"/>
      <c r="M9" s="54"/>
      <c r="N9" s="58">
        <v>1141.048</v>
      </c>
      <c r="O9" s="54">
        <v>720</v>
      </c>
      <c r="P9" s="54">
        <v>100</v>
      </c>
      <c r="Q9" s="59">
        <v>554.02800000000002</v>
      </c>
      <c r="R9" s="54">
        <v>84</v>
      </c>
      <c r="S9" s="61">
        <v>14919.835999999999</v>
      </c>
      <c r="T9" s="62"/>
      <c r="U9" s="63">
        <v>1698.3040000000001</v>
      </c>
      <c r="V9" s="53">
        <v>30</v>
      </c>
      <c r="W9" s="54">
        <v>720</v>
      </c>
      <c r="X9" s="54">
        <v>121.089</v>
      </c>
      <c r="Y9" s="64"/>
      <c r="Z9" s="64"/>
      <c r="AA9" s="65">
        <v>2569.393</v>
      </c>
      <c r="AB9" s="65">
        <v>12350.442999999999</v>
      </c>
      <c r="AC9" s="66">
        <v>1800</v>
      </c>
      <c r="AD9" s="65">
        <v>10550.442999999999</v>
      </c>
      <c r="AE9" s="67">
        <v>8846.76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1846.7600000000002</v>
      </c>
      <c r="AO9" s="73">
        <v>554.02800000000002</v>
      </c>
      <c r="AP9" s="1"/>
      <c r="AQ9" s="73"/>
      <c r="AR9" s="73">
        <v>14759.835999999999</v>
      </c>
      <c r="AS9" s="73">
        <v>160</v>
      </c>
      <c r="AT9" s="74">
        <v>2569.393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400</v>
      </c>
      <c r="E10" s="54">
        <v>5972.48</v>
      </c>
      <c r="F10" s="55">
        <v>20.5</v>
      </c>
      <c r="G10" s="56">
        <v>0</v>
      </c>
      <c r="H10" s="54"/>
      <c r="I10" s="54">
        <v>647</v>
      </c>
      <c r="J10" s="57"/>
      <c r="K10" s="54">
        <v>350</v>
      </c>
      <c r="L10" s="75"/>
      <c r="M10" s="54"/>
      <c r="N10" s="58">
        <v>1141.048</v>
      </c>
      <c r="O10" s="54">
        <v>615</v>
      </c>
      <c r="P10" s="54">
        <v>100</v>
      </c>
      <c r="Q10" s="59"/>
      <c r="R10" s="60"/>
      <c r="S10" s="61">
        <v>9235.5279999999984</v>
      </c>
      <c r="T10" s="62"/>
      <c r="U10" s="63">
        <v>1698.3040000000001</v>
      </c>
      <c r="V10" s="53">
        <v>30</v>
      </c>
      <c r="W10" s="54">
        <v>615</v>
      </c>
      <c r="X10" s="54">
        <v>160.92500000000001</v>
      </c>
      <c r="Y10" s="64"/>
      <c r="Z10" s="64"/>
      <c r="AA10" s="65">
        <v>2504.2290000000003</v>
      </c>
      <c r="AB10" s="65">
        <v>6731.2989999999982</v>
      </c>
      <c r="AC10" s="66">
        <v>1800</v>
      </c>
      <c r="AD10" s="65">
        <v>4931.2989999999982</v>
      </c>
      <c r="AE10" s="67">
        <v>5972.48</v>
      </c>
      <c r="AF10" s="51"/>
      <c r="AG10" s="68"/>
      <c r="AH10" s="69"/>
      <c r="AI10" s="70"/>
      <c r="AJ10" s="71"/>
      <c r="AK10" s="72"/>
      <c r="AL10" s="57"/>
      <c r="AM10" s="70"/>
      <c r="AN10" s="73">
        <v>-1027.5200000000004</v>
      </c>
      <c r="AO10" s="73">
        <v>-308.25600000000014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600</v>
      </c>
      <c r="E11" s="54">
        <v>5473.96</v>
      </c>
      <c r="F11" s="55">
        <v>20</v>
      </c>
      <c r="G11" s="56">
        <v>1070</v>
      </c>
      <c r="H11" s="54">
        <v>200</v>
      </c>
      <c r="I11" s="54">
        <v>578</v>
      </c>
      <c r="J11" s="57"/>
      <c r="K11" s="54">
        <v>700</v>
      </c>
      <c r="L11" s="75">
        <v>200</v>
      </c>
      <c r="M11" s="54"/>
      <c r="N11" s="58">
        <v>1141.048</v>
      </c>
      <c r="O11" s="54">
        <v>600</v>
      </c>
      <c r="P11" s="54"/>
      <c r="Q11" s="59"/>
      <c r="R11" s="60">
        <v>179</v>
      </c>
      <c r="S11" s="61">
        <v>10742.008</v>
      </c>
      <c r="T11" s="62"/>
      <c r="U11" s="63">
        <v>1698.3040000000001</v>
      </c>
      <c r="V11" s="53">
        <v>30</v>
      </c>
      <c r="W11" s="54">
        <v>600</v>
      </c>
      <c r="X11" s="54"/>
      <c r="Y11" s="64"/>
      <c r="Z11" s="64"/>
      <c r="AA11" s="65">
        <v>2328.3040000000001</v>
      </c>
      <c r="AB11" s="65">
        <v>8413.7039999999997</v>
      </c>
      <c r="AC11" s="66">
        <v>1800</v>
      </c>
      <c r="AD11" s="65">
        <v>6613.7039999999997</v>
      </c>
      <c r="AE11" s="67">
        <v>5473.96</v>
      </c>
      <c r="AF11" s="51"/>
      <c r="AG11" s="68"/>
      <c r="AH11" s="69"/>
      <c r="AI11" s="70"/>
      <c r="AJ11" s="71"/>
      <c r="AK11" s="72"/>
      <c r="AL11" s="57"/>
      <c r="AM11" s="70"/>
      <c r="AN11" s="73">
        <v>-1526.04</v>
      </c>
      <c r="AO11" s="73">
        <v>-457.81199999999995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700</v>
      </c>
      <c r="E12" s="54">
        <v>8442.66</v>
      </c>
      <c r="F12" s="55">
        <v>21</v>
      </c>
      <c r="G12" s="56">
        <v>2095</v>
      </c>
      <c r="H12" s="54">
        <v>550</v>
      </c>
      <c r="I12" s="54">
        <v>807</v>
      </c>
      <c r="J12" s="57"/>
      <c r="K12" s="54">
        <v>650</v>
      </c>
      <c r="L12" s="75"/>
      <c r="M12" s="54"/>
      <c r="N12" s="58">
        <v>1141.048</v>
      </c>
      <c r="O12" s="54">
        <v>630</v>
      </c>
      <c r="P12" s="54"/>
      <c r="Q12" s="59">
        <v>432.79799999999994</v>
      </c>
      <c r="R12" s="60">
        <v>50</v>
      </c>
      <c r="S12" s="61">
        <v>15533.505999999999</v>
      </c>
      <c r="T12" s="62"/>
      <c r="U12" s="63">
        <v>1698.3040000000001</v>
      </c>
      <c r="V12" s="53">
        <v>30</v>
      </c>
      <c r="W12" s="54">
        <v>630</v>
      </c>
      <c r="X12" s="54"/>
      <c r="Y12" s="64"/>
      <c r="Z12" s="64"/>
      <c r="AA12" s="65">
        <v>2358.3040000000001</v>
      </c>
      <c r="AB12" s="65">
        <v>13175.201999999999</v>
      </c>
      <c r="AC12" s="66">
        <v>1800</v>
      </c>
      <c r="AD12" s="65">
        <v>11375.201999999999</v>
      </c>
      <c r="AE12" s="67">
        <v>8442.66</v>
      </c>
      <c r="AF12" s="51"/>
      <c r="AG12" s="68"/>
      <c r="AH12" s="69"/>
      <c r="AI12" s="70"/>
      <c r="AJ12" s="71"/>
      <c r="AK12" s="72"/>
      <c r="AL12" s="57"/>
      <c r="AM12" s="70"/>
      <c r="AN12" s="73">
        <v>1442.6599999999999</v>
      </c>
      <c r="AO12" s="73">
        <v>432.79799999999994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500</v>
      </c>
      <c r="E13" s="54">
        <v>7436.7000000000007</v>
      </c>
      <c r="F13" s="55">
        <v>21</v>
      </c>
      <c r="G13" s="56">
        <v>650</v>
      </c>
      <c r="H13" s="54">
        <v>200</v>
      </c>
      <c r="I13" s="54">
        <v>780</v>
      </c>
      <c r="J13" s="57"/>
      <c r="K13" s="54">
        <v>550</v>
      </c>
      <c r="L13" s="75"/>
      <c r="M13" s="54"/>
      <c r="N13" s="58">
        <v>1141.048</v>
      </c>
      <c r="O13" s="54">
        <v>630</v>
      </c>
      <c r="P13" s="54">
        <v>100</v>
      </c>
      <c r="Q13" s="59">
        <v>131.01000000000022</v>
      </c>
      <c r="R13" s="60">
        <v>72</v>
      </c>
      <c r="S13" s="61">
        <v>12215.758000000002</v>
      </c>
      <c r="T13" s="62"/>
      <c r="U13" s="63">
        <v>1698.3040000000001</v>
      </c>
      <c r="V13" s="53">
        <v>30</v>
      </c>
      <c r="W13" s="54">
        <v>630</v>
      </c>
      <c r="X13" s="54">
        <v>124.634</v>
      </c>
      <c r="Y13" s="64"/>
      <c r="Z13" s="64"/>
      <c r="AA13" s="65">
        <v>2482.9380000000001</v>
      </c>
      <c r="AB13" s="65">
        <v>9732.8200000000015</v>
      </c>
      <c r="AC13" s="66">
        <v>2000</v>
      </c>
      <c r="AD13" s="65">
        <v>7732.8200000000015</v>
      </c>
      <c r="AE13" s="67">
        <v>7436.7000000000007</v>
      </c>
      <c r="AF13" s="51"/>
      <c r="AG13" s="68"/>
      <c r="AH13" s="69"/>
      <c r="AI13" s="70"/>
      <c r="AJ13" s="71"/>
      <c r="AK13" s="72"/>
      <c r="AL13" s="57"/>
      <c r="AM13" s="70"/>
      <c r="AN13" s="73">
        <v>436.70000000000073</v>
      </c>
      <c r="AO13" s="73">
        <v>131.01000000000022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100</v>
      </c>
      <c r="E14" s="54">
        <v>5343.74</v>
      </c>
      <c r="F14" s="55">
        <v>21.5</v>
      </c>
      <c r="G14" s="56">
        <v>690</v>
      </c>
      <c r="H14" s="54">
        <v>0</v>
      </c>
      <c r="I14" s="54">
        <v>608</v>
      </c>
      <c r="J14" s="57"/>
      <c r="K14" s="54">
        <v>550</v>
      </c>
      <c r="L14" s="75"/>
      <c r="M14" s="54"/>
      <c r="N14" s="58">
        <v>1141.048</v>
      </c>
      <c r="O14" s="54">
        <v>645</v>
      </c>
      <c r="P14" s="54">
        <v>100</v>
      </c>
      <c r="Q14" s="59"/>
      <c r="R14" s="60"/>
      <c r="S14" s="61">
        <v>9185.2880000000005</v>
      </c>
      <c r="T14" s="62"/>
      <c r="U14" s="63">
        <v>1698.3040000000001</v>
      </c>
      <c r="V14" s="53">
        <v>30</v>
      </c>
      <c r="W14" s="54">
        <v>645</v>
      </c>
      <c r="X14" s="54">
        <v>120</v>
      </c>
      <c r="Y14" s="64"/>
      <c r="Z14" s="64"/>
      <c r="AA14" s="65">
        <v>2493.3040000000001</v>
      </c>
      <c r="AB14" s="65">
        <v>6691.9840000000004</v>
      </c>
      <c r="AC14" s="66">
        <v>1800</v>
      </c>
      <c r="AD14" s="65">
        <v>4891.9840000000004</v>
      </c>
      <c r="AE14" s="67">
        <v>5343.74</v>
      </c>
      <c r="AF14" s="51"/>
      <c r="AG14" s="68"/>
      <c r="AH14" s="69"/>
      <c r="AI14" s="70"/>
      <c r="AJ14" s="71"/>
      <c r="AK14" s="72"/>
      <c r="AL14" s="57"/>
      <c r="AM14" s="70"/>
      <c r="AN14" s="73">
        <v>-1656.2600000000002</v>
      </c>
      <c r="AO14" s="73">
        <v>-496.87800000000004</v>
      </c>
      <c r="AR14" s="73"/>
      <c r="AS14" s="73"/>
      <c r="AT14" s="74"/>
      <c r="AU14" s="73"/>
    </row>
    <row r="15" spans="1:47" s="1" customFormat="1" ht="33" customHeight="1" x14ac:dyDescent="0.25">
      <c r="A15" s="51">
        <v>8</v>
      </c>
      <c r="B15" s="76" t="s">
        <v>51</v>
      </c>
      <c r="C15" s="52" t="s">
        <v>42</v>
      </c>
      <c r="D15" s="53">
        <v>100</v>
      </c>
      <c r="E15" s="54">
        <v>6803.74</v>
      </c>
      <c r="F15" s="55">
        <v>24</v>
      </c>
      <c r="G15" s="56">
        <v>675</v>
      </c>
      <c r="H15" s="54">
        <v>0</v>
      </c>
      <c r="I15" s="54">
        <v>1017</v>
      </c>
      <c r="J15" s="57"/>
      <c r="K15" s="54">
        <v>750</v>
      </c>
      <c r="L15" s="75"/>
      <c r="M15" s="54"/>
      <c r="N15" s="58"/>
      <c r="O15" s="54"/>
      <c r="P15" s="54"/>
      <c r="Q15" s="59"/>
      <c r="R15" s="60"/>
      <c r="S15" s="61">
        <v>9365.74</v>
      </c>
      <c r="T15" s="62">
        <v>500</v>
      </c>
      <c r="U15" s="63"/>
      <c r="V15" s="53">
        <v>30</v>
      </c>
      <c r="W15" s="54">
        <v>0</v>
      </c>
      <c r="X15" s="54"/>
      <c r="Y15" s="64"/>
      <c r="Z15" s="64"/>
      <c r="AA15" s="65">
        <v>530</v>
      </c>
      <c r="AB15" s="65">
        <v>8835.74</v>
      </c>
      <c r="AC15" s="66"/>
      <c r="AD15" s="65">
        <v>8835.74</v>
      </c>
      <c r="AE15" s="67">
        <v>6803.74</v>
      </c>
      <c r="AF15" s="77"/>
      <c r="AG15" s="78"/>
      <c r="AH15" s="79"/>
      <c r="AI15" s="80"/>
      <c r="AJ15" s="81"/>
      <c r="AK15" s="82"/>
      <c r="AL15" s="83"/>
      <c r="AM15" s="80"/>
      <c r="AN15" s="73">
        <v>-196.26000000000022</v>
      </c>
      <c r="AO15" s="73">
        <v>-58.878000000000064</v>
      </c>
      <c r="AQ15" s="84" t="s">
        <v>52</v>
      </c>
      <c r="AR15" s="85"/>
      <c r="AS15" s="86" t="s">
        <v>53</v>
      </c>
      <c r="AT15" s="74"/>
      <c r="AU15" s="73"/>
    </row>
    <row r="16" spans="1:47" ht="33" customHeight="1" x14ac:dyDescent="0.25">
      <c r="A16" s="26" t="s">
        <v>54</v>
      </c>
      <c r="B16" s="31"/>
      <c r="C16" s="87"/>
      <c r="D16" s="62"/>
      <c r="E16" s="88">
        <v>54955.659999999989</v>
      </c>
      <c r="F16" s="89"/>
      <c r="G16" s="90">
        <v>7270</v>
      </c>
      <c r="H16" s="90">
        <v>2279</v>
      </c>
      <c r="I16" s="90">
        <v>5804</v>
      </c>
      <c r="J16" s="90">
        <v>0</v>
      </c>
      <c r="K16" s="90">
        <v>4650</v>
      </c>
      <c r="L16" s="90">
        <v>400</v>
      </c>
      <c r="M16" s="90">
        <v>1500</v>
      </c>
      <c r="N16" s="90">
        <v>7987.3359999999993</v>
      </c>
      <c r="O16" s="90">
        <v>4470</v>
      </c>
      <c r="P16" s="90">
        <v>500</v>
      </c>
      <c r="Q16" s="90">
        <v>1117.8360000000002</v>
      </c>
      <c r="R16" s="90">
        <v>538</v>
      </c>
      <c r="S16" s="90">
        <v>95874.332000000009</v>
      </c>
      <c r="T16" s="90">
        <v>500</v>
      </c>
      <c r="U16" s="90">
        <v>11888.128000000001</v>
      </c>
      <c r="V16" s="90">
        <v>240</v>
      </c>
      <c r="W16" s="90">
        <v>4470</v>
      </c>
      <c r="X16" s="90">
        <v>686.64800000000002</v>
      </c>
      <c r="Y16" s="90">
        <v>0</v>
      </c>
      <c r="Z16" s="90">
        <v>0</v>
      </c>
      <c r="AA16" s="90">
        <v>17784.775999999998</v>
      </c>
      <c r="AB16" s="90">
        <v>78089.555999999997</v>
      </c>
      <c r="AC16" s="90">
        <v>12800</v>
      </c>
      <c r="AD16" s="90">
        <v>65289.55599999999</v>
      </c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U17" s="96"/>
      <c r="V17" s="93"/>
      <c r="W17" s="96"/>
      <c r="X17" s="93"/>
      <c r="Y17" s="93"/>
      <c r="Z17" s="93"/>
      <c r="AA17" s="96"/>
      <c r="AB17" s="96"/>
      <c r="AC17" s="93"/>
      <c r="AD17" s="96"/>
    </row>
    <row r="18" spans="1:42" ht="12" customHeight="1" x14ac:dyDescent="0.25">
      <c r="A18" s="91"/>
      <c r="B18" s="91"/>
      <c r="C18" s="92"/>
      <c r="D18" s="93"/>
      <c r="E18" s="94"/>
      <c r="F18" s="95"/>
      <c r="G18" s="93"/>
      <c r="H18" s="93"/>
      <c r="I18" s="96"/>
      <c r="J18" s="93"/>
      <c r="K18" s="93"/>
      <c r="L18" s="92"/>
      <c r="M18" s="93"/>
      <c r="N18" s="96"/>
      <c r="O18" s="96"/>
      <c r="P18" s="93"/>
      <c r="Q18" s="93"/>
      <c r="R18" s="93"/>
      <c r="S18" s="96"/>
      <c r="T18" s="93"/>
      <c r="Y18" s="93"/>
      <c r="Z18" s="97" t="s">
        <v>55</v>
      </c>
      <c r="AA18" s="96"/>
      <c r="AB18" s="96"/>
      <c r="AC18" s="93"/>
      <c r="AD18" s="96"/>
    </row>
    <row r="19" spans="1:42" x14ac:dyDescent="0.25">
      <c r="A19" s="1"/>
      <c r="B19" s="1"/>
      <c r="C19" s="15" t="s">
        <v>56</v>
      </c>
      <c r="D19" s="15"/>
      <c r="E19" s="15"/>
      <c r="F19" s="98"/>
      <c r="G19" s="1"/>
      <c r="H19" s="1"/>
      <c r="I19" s="1"/>
      <c r="J19" s="1"/>
      <c r="K19" s="1"/>
      <c r="M19" s="1"/>
      <c r="O19" s="32" t="s">
        <v>57</v>
      </c>
      <c r="P19" s="1"/>
      <c r="Q19" s="1"/>
      <c r="R19" s="1"/>
      <c r="S19" s="99"/>
      <c r="T19" s="1"/>
      <c r="U19" s="1"/>
      <c r="V19" s="1"/>
      <c r="X19" s="1"/>
      <c r="Y19" s="1"/>
      <c r="Z19" s="1"/>
      <c r="AA19" s="32" t="s">
        <v>58</v>
      </c>
      <c r="AD19" s="1"/>
    </row>
    <row r="20" spans="1:42" x14ac:dyDescent="0.25">
      <c r="B20" s="1"/>
      <c r="D20" s="6"/>
      <c r="H20" s="67"/>
      <c r="O20" s="6"/>
      <c r="S20" s="100"/>
      <c r="T20" s="100"/>
      <c r="X20" s="101"/>
      <c r="AA20" s="6"/>
    </row>
    <row r="21" spans="1:42" x14ac:dyDescent="0.25">
      <c r="B21" s="1"/>
      <c r="D21" s="6"/>
      <c r="J21" s="67"/>
      <c r="O21" s="6"/>
      <c r="S21" s="102"/>
      <c r="T21" s="100"/>
      <c r="U21" s="103"/>
      <c r="AA21" s="6"/>
      <c r="AB21" s="74"/>
      <c r="AC21" s="74"/>
    </row>
    <row r="22" spans="1:42" x14ac:dyDescent="0.25">
      <c r="B22" s="1"/>
      <c r="D22" s="6"/>
      <c r="O22" s="6"/>
      <c r="S22" s="104"/>
      <c r="T22" s="100"/>
      <c r="U22" s="103"/>
      <c r="AA22" s="6"/>
      <c r="AP22" s="67"/>
    </row>
    <row r="23" spans="1:42" s="112" customFormat="1" ht="12.75" x14ac:dyDescent="0.25">
      <c r="A23" s="105"/>
      <c r="B23" s="105"/>
      <c r="C23" s="105"/>
      <c r="D23" s="106" t="s">
        <v>59</v>
      </c>
      <c r="E23" s="107"/>
      <c r="F23" s="108"/>
      <c r="G23" s="105"/>
      <c r="H23" s="105"/>
      <c r="I23" s="105"/>
      <c r="J23" s="105"/>
      <c r="K23" s="105"/>
      <c r="L23" s="109"/>
      <c r="M23" s="105"/>
      <c r="N23" s="110" t="s">
        <v>60</v>
      </c>
      <c r="O23" s="110"/>
      <c r="P23" s="110"/>
      <c r="Q23" s="105"/>
      <c r="R23" s="105"/>
      <c r="S23" s="111"/>
      <c r="T23" s="105"/>
      <c r="U23" s="105"/>
      <c r="V23" s="105"/>
      <c r="X23" s="105"/>
      <c r="Y23" s="105"/>
      <c r="Z23" s="105"/>
      <c r="AA23" s="106" t="s">
        <v>61</v>
      </c>
      <c r="AB23" s="105"/>
      <c r="AC23" s="105"/>
      <c r="AD23" s="113"/>
      <c r="AF23" s="109"/>
      <c r="AH23" s="109"/>
      <c r="AJ23" s="109"/>
      <c r="AK23" s="109"/>
      <c r="AP23" s="114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"/>
      <c r="K24" s="1"/>
      <c r="L24" s="32"/>
      <c r="M24" s="1"/>
      <c r="N24" s="1"/>
      <c r="O24" s="1"/>
      <c r="P24" s="1"/>
      <c r="Q24" s="1"/>
      <c r="R24" s="1"/>
      <c r="S24" s="115"/>
      <c r="T24" s="1"/>
      <c r="U24" s="1"/>
      <c r="V24" s="1"/>
      <c r="W24" s="1"/>
      <c r="X24" s="1"/>
      <c r="Y24" s="1"/>
      <c r="Z24" s="1"/>
      <c r="AD24" s="1"/>
      <c r="AE24" s="103"/>
      <c r="AN24" s="67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16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P26" s="67"/>
    </row>
    <row r="27" spans="1:42" x14ac:dyDescent="0.25">
      <c r="A27" s="1"/>
      <c r="B27" s="1"/>
      <c r="C27" s="1"/>
      <c r="D27" s="1"/>
      <c r="E27" s="73"/>
      <c r="F27" s="98"/>
      <c r="G27" s="1"/>
      <c r="H27" s="1"/>
      <c r="I27" s="1"/>
      <c r="J27" s="1"/>
      <c r="K27" s="1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D27" s="1"/>
      <c r="AN27" s="67"/>
      <c r="AP27" s="67"/>
    </row>
    <row r="28" spans="1:42" s="1" customFormat="1" x14ac:dyDescent="0.25">
      <c r="E28" s="73"/>
      <c r="F28" s="98"/>
      <c r="L28" s="32"/>
      <c r="AF28" s="6"/>
      <c r="AG28" s="4"/>
      <c r="AH28" s="6"/>
      <c r="AI28" s="4"/>
      <c r="AJ28" s="6"/>
      <c r="AK28" s="6"/>
      <c r="AL28" s="4"/>
      <c r="AM28" s="4"/>
      <c r="AP28" s="67"/>
    </row>
    <row r="29" spans="1:42" x14ac:dyDescent="0.25">
      <c r="AP29" s="67"/>
    </row>
    <row r="30" spans="1:42" x14ac:dyDescent="0.25">
      <c r="W30" s="103"/>
      <c r="AP30" s="67"/>
    </row>
    <row r="31" spans="1:42" x14ac:dyDescent="0.25">
      <c r="W31" s="103"/>
      <c r="AP31" s="67"/>
    </row>
    <row r="32" spans="1:42" x14ac:dyDescent="0.25">
      <c r="A32" s="8"/>
      <c r="B32" s="8"/>
      <c r="O32" s="103"/>
      <c r="AP32" s="67"/>
    </row>
    <row r="33" spans="1:45" x14ac:dyDescent="0.25">
      <c r="A33" s="8"/>
      <c r="B33" s="8"/>
      <c r="S33" s="8"/>
      <c r="T33" s="8"/>
      <c r="U33" s="8"/>
      <c r="V33" s="8"/>
      <c r="W33" s="8"/>
      <c r="X33" s="8"/>
      <c r="AA33" s="8"/>
      <c r="AB33" s="8"/>
      <c r="AC33" s="8"/>
      <c r="AD33" s="8"/>
      <c r="AP33" s="67"/>
    </row>
    <row r="34" spans="1:45" x14ac:dyDescent="0.25">
      <c r="A34" s="8"/>
      <c r="B34" s="8"/>
      <c r="AP34" s="67"/>
    </row>
    <row r="35" spans="1:45" s="8" customFormat="1" ht="15" customHeight="1" x14ac:dyDescent="0.25"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ht="15" customHeigh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7"/>
      <c r="I38" s="118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/>
      <c r="AH38" s="6"/>
      <c r="AI38" s="4"/>
      <c r="AJ38" s="6"/>
      <c r="AK38" s="6"/>
      <c r="AL38" s="4"/>
      <c r="AM38" s="4"/>
      <c r="AP38" s="67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6"/>
      <c r="AG39" s="4" t="s">
        <v>62</v>
      </c>
      <c r="AH39" s="6"/>
      <c r="AI39" s="4"/>
      <c r="AJ39" s="6"/>
      <c r="AK39" s="6"/>
      <c r="AL39" s="4"/>
      <c r="AM39" s="4"/>
      <c r="AN39" s="119"/>
      <c r="AO39" s="4"/>
      <c r="AP39" s="67"/>
      <c r="AQ39" s="4"/>
      <c r="AR39" s="4"/>
      <c r="AS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63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A41" s="6"/>
      <c r="B41" s="4"/>
      <c r="C41" s="6"/>
      <c r="D41" s="4"/>
      <c r="F41" s="11"/>
      <c r="G41" s="4"/>
      <c r="H41" s="4"/>
      <c r="I41" s="5"/>
      <c r="J41" s="4"/>
      <c r="K41" s="4"/>
      <c r="L41" s="6"/>
      <c r="M41" s="4"/>
      <c r="N41" s="4"/>
      <c r="O41" s="4"/>
      <c r="P41" s="4"/>
      <c r="Q41" s="4"/>
      <c r="R41" s="4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64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s="8" customFormat="1" x14ac:dyDescent="0.25">
      <c r="B42" s="4"/>
      <c r="F42" s="117"/>
      <c r="I42" s="118"/>
      <c r="L42" s="121"/>
      <c r="S42" s="7"/>
      <c r="T42" s="7"/>
      <c r="U42" s="4"/>
      <c r="V42" s="4"/>
      <c r="W42" s="4"/>
      <c r="X42" s="4"/>
      <c r="AA42" s="1"/>
      <c r="AB42" s="1"/>
      <c r="AC42" s="1"/>
      <c r="AD42" s="4"/>
      <c r="AE42" s="4"/>
      <c r="AF42" s="120" t="s">
        <v>65</v>
      </c>
      <c r="AG42" s="4"/>
      <c r="AH42" s="6"/>
      <c r="AI42" s="4"/>
      <c r="AJ42" s="6"/>
      <c r="AK42" s="6"/>
      <c r="AL42" s="4"/>
      <c r="AM42" s="4"/>
      <c r="AN42" s="4"/>
      <c r="AO42" s="4"/>
      <c r="AP42" s="67"/>
      <c r="AQ42" s="4"/>
    </row>
    <row r="43" spans="1:45" x14ac:dyDescent="0.25">
      <c r="AP43" s="67"/>
    </row>
    <row r="44" spans="1:45" s="8" customFormat="1" x14ac:dyDescent="0.25">
      <c r="A44" s="6"/>
      <c r="B44" s="4"/>
      <c r="C44" s="6"/>
      <c r="D44" s="4"/>
      <c r="F44" s="11"/>
      <c r="G44" s="4"/>
      <c r="H44" s="4"/>
      <c r="I44" s="5"/>
      <c r="J44" s="4"/>
      <c r="K44" s="4"/>
      <c r="L44" s="6"/>
      <c r="M44" s="4"/>
      <c r="N44" s="4"/>
      <c r="O44" s="4"/>
      <c r="P44" s="4"/>
      <c r="Q44" s="4"/>
      <c r="R44" s="4"/>
      <c r="S44" s="7"/>
      <c r="T44" s="7"/>
      <c r="U44" s="4"/>
      <c r="V44" s="4"/>
      <c r="W44" s="4"/>
      <c r="X44" s="4"/>
      <c r="AA44" s="1"/>
      <c r="AB44" s="1"/>
      <c r="AC44" s="1"/>
      <c r="AD44" s="4"/>
      <c r="AE44" s="4"/>
      <c r="AF44" s="6"/>
      <c r="AG44" s="4"/>
      <c r="AH44" s="6"/>
      <c r="AI44" s="4"/>
      <c r="AJ44" s="6"/>
      <c r="AK44" s="6"/>
      <c r="AL44" s="4"/>
      <c r="AM44" s="4"/>
      <c r="AN44" s="4"/>
      <c r="AO44" s="4"/>
      <c r="AP44" s="67"/>
      <c r="AQ44" s="4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3" spans="2:42" x14ac:dyDescent="0.25">
      <c r="AP53" s="67"/>
    </row>
    <row r="56" spans="2:42" x14ac:dyDescent="0.25">
      <c r="B56" s="103"/>
      <c r="E56" s="122"/>
      <c r="F56" s="122"/>
    </row>
    <row r="61" spans="2:42" x14ac:dyDescent="0.25">
      <c r="V61" s="123"/>
    </row>
    <row r="92" spans="2:43" s="6" customFormat="1" x14ac:dyDescent="0.25">
      <c r="B92" s="4"/>
      <c r="D92" s="4"/>
      <c r="E92" s="8"/>
      <c r="F92" s="11"/>
      <c r="G92" s="4"/>
      <c r="H92" s="4"/>
      <c r="I92" s="5"/>
      <c r="J92" s="4"/>
      <c r="K92" s="4"/>
      <c r="M92" s="4"/>
      <c r="N92" s="4"/>
      <c r="O92" s="4"/>
      <c r="P92" s="4"/>
      <c r="Q92" s="4"/>
      <c r="R92" s="4"/>
      <c r="S92" s="7"/>
      <c r="T92" s="7"/>
      <c r="U92" s="4"/>
      <c r="V92" s="4"/>
      <c r="W92" s="4"/>
      <c r="X92" s="4"/>
      <c r="Y92" s="8"/>
      <c r="Z92" s="8"/>
      <c r="AA92" s="1"/>
      <c r="AB92" s="1"/>
      <c r="AC92" s="1"/>
      <c r="AD92" s="4"/>
      <c r="AE92" s="4"/>
      <c r="AG92" s="4"/>
      <c r="AI92" s="4"/>
      <c r="AL92" s="4"/>
      <c r="AM92" s="4"/>
      <c r="AN92" s="4"/>
      <c r="AO92" s="4"/>
      <c r="AP92" s="4"/>
      <c r="AQ92" s="4"/>
    </row>
    <row r="93" spans="2:43" x14ac:dyDescent="0.25">
      <c r="B93" s="124"/>
    </row>
    <row r="96" spans="2:43" s="6" customFormat="1" x14ac:dyDescent="0.25">
      <c r="B96" s="4"/>
      <c r="D96" s="4"/>
      <c r="E96" s="8"/>
      <c r="F96" s="11"/>
      <c r="G96" s="4"/>
      <c r="H96" s="4"/>
      <c r="I96" s="5"/>
      <c r="J96" s="4"/>
      <c r="K96" s="4"/>
      <c r="M96" s="4"/>
      <c r="N96" s="4"/>
      <c r="O96" s="4"/>
      <c r="P96" s="4"/>
      <c r="Q96" s="4"/>
      <c r="R96" s="4"/>
      <c r="S96" s="7"/>
      <c r="T96" s="7"/>
      <c r="U96" s="4"/>
      <c r="V96" s="4"/>
      <c r="W96" s="4"/>
      <c r="X96" s="4"/>
      <c r="Y96" s="8"/>
      <c r="Z96" s="8"/>
      <c r="AA96" s="1"/>
      <c r="AB96" s="1"/>
      <c r="AC96" s="1"/>
      <c r="AD96" s="4"/>
      <c r="AE96" s="4"/>
      <c r="AG96" s="4"/>
      <c r="AI96" s="4"/>
      <c r="AL96" s="4"/>
      <c r="AM96" s="4"/>
      <c r="AN96" s="4"/>
      <c r="AO96" s="4"/>
      <c r="AP96" s="4"/>
      <c r="AQ96" s="4"/>
    </row>
    <row r="97" spans="1:1" x14ac:dyDescent="0.25">
      <c r="A97" s="51"/>
    </row>
  </sheetData>
  <mergeCells count="50">
    <mergeCell ref="Y6:Y7"/>
    <mergeCell ref="Z6:Z7"/>
    <mergeCell ref="A16:B16"/>
    <mergeCell ref="C19:E19"/>
    <mergeCell ref="N23:P23"/>
    <mergeCell ref="E56:F56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workbookViewId="0">
      <selection activeCell="R21" sqref="R21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9.85546875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9.85546875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9.85546875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9.85546875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9.85546875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9.85546875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9.85546875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9.85546875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9.85546875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9.85546875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9.85546875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9.85546875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9.85546875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9.85546875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9.85546875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9.85546875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9.85546875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9.85546875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9.85546875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9.85546875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9.85546875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9.85546875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9.85546875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9.85546875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9.85546875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9.85546875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9.85546875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9.85546875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9.85546875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9.85546875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9.85546875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9.85546875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9.85546875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9.85546875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9.85546875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9.85546875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9.85546875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9.85546875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9.85546875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9.85546875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9.85546875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9.85546875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9.85546875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9.85546875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9.85546875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9.85546875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9.85546875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9.85546875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9.85546875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9.85546875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9.85546875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9.85546875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9.85546875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9.85546875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9.85546875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9.85546875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9.85546875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9.85546875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9.85546875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9.85546875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9.85546875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9.85546875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9.85546875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68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 t="s">
        <v>73</v>
      </c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4800</v>
      </c>
      <c r="D8" s="143">
        <v>12300</v>
      </c>
      <c r="E8" s="143">
        <v>8100</v>
      </c>
      <c r="F8" s="143">
        <v>2800</v>
      </c>
      <c r="G8" s="143">
        <v>1000</v>
      </c>
      <c r="H8" s="143">
        <v>500</v>
      </c>
      <c r="I8" s="143">
        <v>4500</v>
      </c>
      <c r="J8" s="143"/>
      <c r="K8" s="143"/>
      <c r="L8" s="143"/>
      <c r="M8" s="143"/>
      <c r="N8" s="143">
        <v>1500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9.5</v>
      </c>
      <c r="D9" s="146">
        <v>23.4</v>
      </c>
      <c r="E9" s="146">
        <v>14.8</v>
      </c>
      <c r="F9" s="146">
        <v>5.5</v>
      </c>
      <c r="G9" s="146">
        <v>2</v>
      </c>
      <c r="H9" s="146">
        <v>1</v>
      </c>
      <c r="I9" s="146">
        <v>9</v>
      </c>
      <c r="J9" s="146"/>
      <c r="K9" s="148"/>
      <c r="L9" s="146"/>
      <c r="M9" s="146"/>
      <c r="N9" s="146">
        <v>3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12534</v>
      </c>
      <c r="D10" s="152">
        <v>5478</v>
      </c>
      <c r="E10" s="152">
        <v>10590</v>
      </c>
      <c r="F10" s="152">
        <v>12252</v>
      </c>
      <c r="G10" s="154">
        <v>17147</v>
      </c>
      <c r="H10" s="154">
        <v>15956</v>
      </c>
      <c r="I10" s="154">
        <v>12643</v>
      </c>
      <c r="J10" s="152"/>
      <c r="K10" s="152"/>
      <c r="L10" s="152"/>
      <c r="M10" s="152"/>
      <c r="N10" s="152">
        <v>11178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10413</v>
      </c>
      <c r="D12" s="141">
        <v>12061</v>
      </c>
      <c r="E12" s="141">
        <v>18646</v>
      </c>
      <c r="F12" s="141">
        <v>2965</v>
      </c>
      <c r="G12" s="160">
        <v>6795</v>
      </c>
      <c r="H12" s="160">
        <v>3124</v>
      </c>
      <c r="I12" s="160">
        <v>23165</v>
      </c>
      <c r="J12" s="143"/>
      <c r="K12" s="141"/>
      <c r="L12" s="141"/>
      <c r="M12" s="141"/>
      <c r="N12" s="141">
        <v>8330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3336</v>
      </c>
      <c r="D13" s="141">
        <v>3983</v>
      </c>
      <c r="E13" s="141">
        <v>3773</v>
      </c>
      <c r="F13" s="141">
        <v>630</v>
      </c>
      <c r="G13" s="160">
        <v>710</v>
      </c>
      <c r="H13" s="160">
        <v>1513</v>
      </c>
      <c r="I13" s="160">
        <v>2845</v>
      </c>
      <c r="J13" s="143"/>
      <c r="K13" s="143"/>
      <c r="L13" s="141"/>
      <c r="M13" s="141"/>
      <c r="N13" s="141">
        <v>1825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>
        <v>700</v>
      </c>
      <c r="D14" s="141">
        <v>1400</v>
      </c>
      <c r="E14" s="141"/>
      <c r="F14" s="141"/>
      <c r="G14" s="160"/>
      <c r="H14" s="160"/>
      <c r="I14" s="160"/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>
        <v>1200</v>
      </c>
      <c r="D17" s="143">
        <v>1200</v>
      </c>
      <c r="E17" s="141">
        <v>3000</v>
      </c>
      <c r="F17" s="143">
        <v>1200</v>
      </c>
      <c r="G17" s="161">
        <v>600</v>
      </c>
      <c r="H17" s="161"/>
      <c r="I17" s="161">
        <v>1200</v>
      </c>
      <c r="J17" s="143"/>
      <c r="K17" s="143"/>
      <c r="L17" s="143"/>
      <c r="M17" s="143"/>
      <c r="N17" s="143">
        <v>600</v>
      </c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32983</v>
      </c>
      <c r="D18" s="164">
        <f>SUM(D10:D17)+D8</f>
        <v>36422</v>
      </c>
      <c r="E18" s="164">
        <f>SUM(E10:E17)+E8</f>
        <v>44109</v>
      </c>
      <c r="F18" s="164">
        <f>SUM(F10:F17)+F8</f>
        <v>19847</v>
      </c>
      <c r="G18" s="164">
        <f t="shared" ref="G18:N18" si="0">SUM(G10:G17)+G8</f>
        <v>26252</v>
      </c>
      <c r="H18" s="164">
        <f t="shared" si="0"/>
        <v>21093</v>
      </c>
      <c r="I18" s="164">
        <f>SUM(I10:I17)+I8</f>
        <v>44353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23433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665</v>
      </c>
      <c r="D19" s="165">
        <f t="shared" ref="D19:N19" si="1">D9*70</f>
        <v>1638</v>
      </c>
      <c r="E19" s="165">
        <f t="shared" si="1"/>
        <v>1036</v>
      </c>
      <c r="F19" s="165">
        <f t="shared" si="1"/>
        <v>385</v>
      </c>
      <c r="G19" s="165">
        <f t="shared" si="1"/>
        <v>140</v>
      </c>
      <c r="H19" s="165">
        <f t="shared" si="1"/>
        <v>70</v>
      </c>
      <c r="I19" s="165">
        <f t="shared" si="1"/>
        <v>630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210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4010.88</v>
      </c>
      <c r="D20" s="165">
        <f t="shared" si="2"/>
        <v>1752.96</v>
      </c>
      <c r="E20" s="165">
        <f t="shared" si="2"/>
        <v>3388.8</v>
      </c>
      <c r="F20" s="165">
        <f t="shared" si="2"/>
        <v>3920.64</v>
      </c>
      <c r="G20" s="165">
        <f t="shared" si="2"/>
        <v>5487.04</v>
      </c>
      <c r="H20" s="165">
        <f t="shared" si="2"/>
        <v>5105.92</v>
      </c>
      <c r="I20" s="165">
        <f t="shared" si="2"/>
        <v>4045.76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3576.96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1041.3</v>
      </c>
      <c r="D22" s="165">
        <f t="shared" si="4"/>
        <v>1206.1000000000001</v>
      </c>
      <c r="E22" s="165">
        <f t="shared" si="4"/>
        <v>1864.6000000000001</v>
      </c>
      <c r="F22" s="165">
        <f t="shared" si="4"/>
        <v>296.5</v>
      </c>
      <c r="G22" s="165">
        <f t="shared" si="4"/>
        <v>679.5</v>
      </c>
      <c r="H22" s="165">
        <f t="shared" si="4"/>
        <v>312.40000000000003</v>
      </c>
      <c r="I22" s="165">
        <f t="shared" si="4"/>
        <v>2316.5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833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1067.52</v>
      </c>
      <c r="D23" s="165">
        <f t="shared" si="5"/>
        <v>1274.56</v>
      </c>
      <c r="E23" s="165">
        <f t="shared" si="5"/>
        <v>1207.3600000000001</v>
      </c>
      <c r="F23" s="165">
        <f t="shared" si="5"/>
        <v>201.6</v>
      </c>
      <c r="G23" s="165">
        <f t="shared" si="5"/>
        <v>227.20000000000002</v>
      </c>
      <c r="H23" s="165">
        <f t="shared" si="5"/>
        <v>484.16</v>
      </c>
      <c r="I23" s="165">
        <f t="shared" si="5"/>
        <v>910.4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584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112</v>
      </c>
      <c r="D24" s="165">
        <f t="shared" si="6"/>
        <v>224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540</v>
      </c>
      <c r="D27" s="165">
        <f t="shared" si="8"/>
        <v>540</v>
      </c>
      <c r="E27" s="165">
        <f t="shared" si="8"/>
        <v>1350</v>
      </c>
      <c r="F27" s="165">
        <f t="shared" si="8"/>
        <v>540</v>
      </c>
      <c r="G27" s="165">
        <f t="shared" si="8"/>
        <v>270</v>
      </c>
      <c r="H27" s="165">
        <f t="shared" si="8"/>
        <v>0</v>
      </c>
      <c r="I27" s="165">
        <f t="shared" si="8"/>
        <v>540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270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7436.7000000000007</v>
      </c>
      <c r="D28" s="168">
        <f t="shared" si="9"/>
        <v>6635.6200000000008</v>
      </c>
      <c r="E28" s="168">
        <f t="shared" si="9"/>
        <v>8846.76</v>
      </c>
      <c r="F28" s="168">
        <f t="shared" si="9"/>
        <v>5343.74</v>
      </c>
      <c r="G28" s="168">
        <f t="shared" si="9"/>
        <v>6803.74</v>
      </c>
      <c r="H28" s="168">
        <f t="shared" si="9"/>
        <v>5972.48</v>
      </c>
      <c r="I28" s="168">
        <f t="shared" si="9"/>
        <v>8442.66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5473.96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54955.659999999996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7"/>
  <sheetViews>
    <sheetView workbookViewId="0">
      <selection activeCell="E10" sqref="E10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10.28515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94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4352.8</v>
      </c>
      <c r="F8" s="55">
        <v>22.3</v>
      </c>
      <c r="G8" s="56">
        <v>820</v>
      </c>
      <c r="H8" s="54">
        <v>6048</v>
      </c>
      <c r="I8" s="54">
        <v>279</v>
      </c>
      <c r="J8" s="57"/>
      <c r="K8" s="54">
        <v>250</v>
      </c>
      <c r="L8" s="6">
        <v>200</v>
      </c>
      <c r="M8" s="54">
        <v>1500</v>
      </c>
      <c r="N8" s="58">
        <v>1141.048</v>
      </c>
      <c r="O8" s="54">
        <v>669</v>
      </c>
      <c r="P8" s="54">
        <v>100</v>
      </c>
      <c r="Q8" s="59"/>
      <c r="R8" s="60">
        <v>40</v>
      </c>
      <c r="S8" s="61">
        <v>16312.12072727273</v>
      </c>
      <c r="T8" s="62"/>
      <c r="U8" s="63">
        <v>1698.3040000000001</v>
      </c>
      <c r="V8" s="53">
        <v>30</v>
      </c>
      <c r="W8" s="54">
        <v>669</v>
      </c>
      <c r="X8" s="54">
        <v>160</v>
      </c>
      <c r="Y8" s="64"/>
      <c r="Z8" s="64"/>
      <c r="AA8" s="65">
        <v>2557.3040000000001</v>
      </c>
      <c r="AB8" s="65">
        <v>13754.81672727273</v>
      </c>
      <c r="AC8" s="66"/>
      <c r="AD8" s="65">
        <v>13754.81672727273</v>
      </c>
      <c r="AE8" s="67">
        <v>4352.8</v>
      </c>
      <c r="AF8" s="51"/>
      <c r="AG8" s="68"/>
      <c r="AH8" s="69"/>
      <c r="AI8" s="70"/>
      <c r="AJ8" s="71"/>
      <c r="AK8" s="72"/>
      <c r="AL8" s="57"/>
      <c r="AM8" s="70"/>
      <c r="AN8" s="73">
        <v>-2647.2</v>
      </c>
      <c r="AO8" s="73">
        <v>-794.16</v>
      </c>
      <c r="AR8" s="73">
        <v>16236.098000000002</v>
      </c>
      <c r="AS8" s="73">
        <v>76.022727272727934</v>
      </c>
      <c r="AT8" s="74">
        <v>2557.3040000000001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800</v>
      </c>
      <c r="E9" s="54">
        <v>9316.4599999999991</v>
      </c>
      <c r="F9" s="55">
        <v>24.25</v>
      </c>
      <c r="G9" s="56">
        <v>1620</v>
      </c>
      <c r="H9" s="54">
        <v>850</v>
      </c>
      <c r="I9" s="54">
        <v>1122</v>
      </c>
      <c r="J9" s="57"/>
      <c r="K9" s="54">
        <v>650</v>
      </c>
      <c r="L9" s="75"/>
      <c r="M9" s="54"/>
      <c r="N9" s="58">
        <v>1141.048</v>
      </c>
      <c r="O9" s="54">
        <v>727.5</v>
      </c>
      <c r="P9" s="54">
        <v>100</v>
      </c>
      <c r="Q9" s="59">
        <v>694.93799999999976</v>
      </c>
      <c r="R9" s="54">
        <v>75</v>
      </c>
      <c r="S9" s="61">
        <v>17178.76418181818</v>
      </c>
      <c r="T9" s="62"/>
      <c r="U9" s="63">
        <v>1698.3040000000001</v>
      </c>
      <c r="V9" s="53">
        <v>30</v>
      </c>
      <c r="W9" s="54">
        <v>727.5</v>
      </c>
      <c r="X9" s="54">
        <v>124.369</v>
      </c>
      <c r="Y9" s="64"/>
      <c r="Z9" s="64"/>
      <c r="AA9" s="65">
        <v>2580.1730000000002</v>
      </c>
      <c r="AB9" s="65">
        <v>14598.591181818179</v>
      </c>
      <c r="AC9" s="66"/>
      <c r="AD9" s="65">
        <v>14598.591181818179</v>
      </c>
      <c r="AE9" s="67">
        <v>9316.4599999999991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2316.4599999999991</v>
      </c>
      <c r="AO9" s="73">
        <v>694.93799999999976</v>
      </c>
      <c r="AP9" s="1"/>
      <c r="AQ9" s="73"/>
      <c r="AR9" s="73">
        <v>17105.279333333332</v>
      </c>
      <c r="AS9" s="73">
        <v>73.484848484848044</v>
      </c>
      <c r="AT9" s="74">
        <v>2580.1730000000002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400</v>
      </c>
      <c r="E10" s="54">
        <v>6642.3600000000006</v>
      </c>
      <c r="F10" s="55">
        <v>24</v>
      </c>
      <c r="G10" s="56">
        <v>0</v>
      </c>
      <c r="H10" s="54"/>
      <c r="I10" s="54">
        <v>906</v>
      </c>
      <c r="J10" s="57"/>
      <c r="K10" s="54">
        <v>200</v>
      </c>
      <c r="L10" s="75"/>
      <c r="M10" s="54"/>
      <c r="N10" s="58">
        <v>1141.048</v>
      </c>
      <c r="O10" s="54">
        <v>720</v>
      </c>
      <c r="P10" s="54">
        <v>100</v>
      </c>
      <c r="Q10" s="59"/>
      <c r="R10" s="60">
        <v>124</v>
      </c>
      <c r="S10" s="61">
        <v>10269.771636363635</v>
      </c>
      <c r="T10" s="62"/>
      <c r="U10" s="63">
        <v>1698.3040000000001</v>
      </c>
      <c r="V10" s="53">
        <v>30</v>
      </c>
      <c r="W10" s="54">
        <v>720</v>
      </c>
      <c r="X10" s="54">
        <v>143.26400000000001</v>
      </c>
      <c r="Y10" s="64"/>
      <c r="Z10" s="64"/>
      <c r="AA10" s="65">
        <v>2591.5680000000002</v>
      </c>
      <c r="AB10" s="65">
        <v>7678.2036363636353</v>
      </c>
      <c r="AC10" s="66"/>
      <c r="AD10" s="65">
        <v>7678.2036363636353</v>
      </c>
      <c r="AE10" s="67">
        <v>6642.3600000000006</v>
      </c>
      <c r="AF10" s="51"/>
      <c r="AG10" s="68"/>
      <c r="AH10" s="69"/>
      <c r="AI10" s="70"/>
      <c r="AJ10" s="71"/>
      <c r="AK10" s="72"/>
      <c r="AL10" s="57"/>
      <c r="AM10" s="70"/>
      <c r="AN10" s="73">
        <v>-357.63999999999942</v>
      </c>
      <c r="AO10" s="73">
        <v>-107.29199999999982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6533.88</v>
      </c>
      <c r="F11" s="55">
        <v>24.75</v>
      </c>
      <c r="G11" s="56">
        <v>950</v>
      </c>
      <c r="H11" s="54">
        <v>1500</v>
      </c>
      <c r="I11" s="54">
        <v>657</v>
      </c>
      <c r="J11" s="57"/>
      <c r="K11" s="54">
        <v>400</v>
      </c>
      <c r="L11" s="75">
        <v>800</v>
      </c>
      <c r="M11" s="54"/>
      <c r="N11" s="58">
        <v>1141.048</v>
      </c>
      <c r="O11" s="54">
        <v>742.5</v>
      </c>
      <c r="P11" s="54"/>
      <c r="Q11" s="59"/>
      <c r="R11" s="60">
        <v>250</v>
      </c>
      <c r="S11" s="61">
        <v>13761.928</v>
      </c>
      <c r="T11" s="62"/>
      <c r="U11" s="63">
        <v>1698.3040000000001</v>
      </c>
      <c r="V11" s="53">
        <v>30</v>
      </c>
      <c r="W11" s="54">
        <v>742.5</v>
      </c>
      <c r="X11" s="54"/>
      <c r="Y11" s="64"/>
      <c r="Z11" s="64"/>
      <c r="AA11" s="65">
        <v>2470.8040000000001</v>
      </c>
      <c r="AB11" s="65">
        <v>11291.124</v>
      </c>
      <c r="AC11" s="66"/>
      <c r="AD11" s="65">
        <v>11291.124</v>
      </c>
      <c r="AE11" s="67">
        <v>6533.88</v>
      </c>
      <c r="AF11" s="51"/>
      <c r="AG11" s="68"/>
      <c r="AH11" s="69"/>
      <c r="AI11" s="70"/>
      <c r="AJ11" s="71"/>
      <c r="AK11" s="72"/>
      <c r="AL11" s="57"/>
      <c r="AM11" s="70"/>
      <c r="AN11" s="73">
        <v>-466.11999999999989</v>
      </c>
      <c r="AO11" s="73">
        <v>-139.83599999999996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700</v>
      </c>
      <c r="E12" s="54">
        <v>7713.46</v>
      </c>
      <c r="F12" s="55">
        <v>24.75</v>
      </c>
      <c r="G12" s="56">
        <v>1815</v>
      </c>
      <c r="H12" s="54">
        <v>2522</v>
      </c>
      <c r="I12" s="54">
        <v>676</v>
      </c>
      <c r="J12" s="57"/>
      <c r="K12" s="54">
        <v>300</v>
      </c>
      <c r="L12" s="75"/>
      <c r="M12" s="54"/>
      <c r="N12" s="58">
        <v>1141.048</v>
      </c>
      <c r="O12" s="54">
        <v>742.5</v>
      </c>
      <c r="P12" s="54"/>
      <c r="Q12" s="59">
        <v>214.03800000000001</v>
      </c>
      <c r="R12" s="60">
        <v>48</v>
      </c>
      <c r="S12" s="61">
        <v>15959.545999999998</v>
      </c>
      <c r="T12" s="62"/>
      <c r="U12" s="63">
        <v>1698.3040000000001</v>
      </c>
      <c r="V12" s="53">
        <v>30</v>
      </c>
      <c r="W12" s="54">
        <v>742.5</v>
      </c>
      <c r="X12" s="54"/>
      <c r="Y12" s="64"/>
      <c r="Z12" s="64"/>
      <c r="AA12" s="65">
        <v>2470.8040000000001</v>
      </c>
      <c r="AB12" s="65">
        <v>13488.741999999998</v>
      </c>
      <c r="AC12" s="66"/>
      <c r="AD12" s="65">
        <v>13488.741999999998</v>
      </c>
      <c r="AE12" s="67">
        <v>7713.46</v>
      </c>
      <c r="AF12" s="51"/>
      <c r="AG12" s="68"/>
      <c r="AH12" s="69"/>
      <c r="AI12" s="70"/>
      <c r="AJ12" s="71"/>
      <c r="AK12" s="72"/>
      <c r="AL12" s="57"/>
      <c r="AM12" s="70"/>
      <c r="AN12" s="73">
        <v>713.46</v>
      </c>
      <c r="AO12" s="73">
        <v>214.03800000000001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500</v>
      </c>
      <c r="E13" s="54">
        <v>6554.6</v>
      </c>
      <c r="F13" s="55">
        <v>25</v>
      </c>
      <c r="G13" s="56">
        <v>1325</v>
      </c>
      <c r="H13" s="54">
        <v>1400</v>
      </c>
      <c r="I13" s="54">
        <v>834</v>
      </c>
      <c r="J13" s="57"/>
      <c r="K13" s="54">
        <v>650</v>
      </c>
      <c r="L13" s="75">
        <v>800</v>
      </c>
      <c r="M13" s="54"/>
      <c r="N13" s="58">
        <v>1141.048</v>
      </c>
      <c r="O13" s="54">
        <v>750</v>
      </c>
      <c r="P13" s="54">
        <v>100</v>
      </c>
      <c r="Q13" s="59"/>
      <c r="R13" s="60"/>
      <c r="S13" s="61">
        <v>14122.829818181819</v>
      </c>
      <c r="T13" s="62"/>
      <c r="U13" s="63">
        <v>1698.3040000000001</v>
      </c>
      <c r="V13" s="53">
        <v>30</v>
      </c>
      <c r="W13" s="54">
        <v>750</v>
      </c>
      <c r="X13" s="54">
        <v>137.57900000000001</v>
      </c>
      <c r="Y13" s="64"/>
      <c r="Z13" s="64"/>
      <c r="AA13" s="65">
        <v>2615.8830000000003</v>
      </c>
      <c r="AB13" s="65">
        <v>11506.946818181819</v>
      </c>
      <c r="AC13" s="66"/>
      <c r="AD13" s="65">
        <v>11506.946818181819</v>
      </c>
      <c r="AE13" s="67">
        <v>6554.6</v>
      </c>
      <c r="AF13" s="51"/>
      <c r="AG13" s="68"/>
      <c r="AH13" s="69"/>
      <c r="AI13" s="70"/>
      <c r="AJ13" s="71"/>
      <c r="AK13" s="72"/>
      <c r="AL13" s="57"/>
      <c r="AM13" s="70"/>
      <c r="AN13" s="73">
        <v>-445.39999999999964</v>
      </c>
      <c r="AO13" s="73">
        <v>-133.61999999999989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100</v>
      </c>
      <c r="E14" s="54">
        <v>5857.9000000000005</v>
      </c>
      <c r="F14" s="55">
        <v>24.5</v>
      </c>
      <c r="G14" s="56">
        <v>1160</v>
      </c>
      <c r="H14" s="54">
        <v>900</v>
      </c>
      <c r="I14" s="54">
        <v>790</v>
      </c>
      <c r="J14" s="57"/>
      <c r="K14" s="54">
        <v>450</v>
      </c>
      <c r="L14" s="75"/>
      <c r="M14" s="54"/>
      <c r="N14" s="58">
        <v>1141.048</v>
      </c>
      <c r="O14" s="54">
        <v>735</v>
      </c>
      <c r="P14" s="54">
        <v>100</v>
      </c>
      <c r="Q14" s="59"/>
      <c r="R14" s="60">
        <v>24</v>
      </c>
      <c r="S14" s="61">
        <v>11269.311636363636</v>
      </c>
      <c r="T14" s="62"/>
      <c r="U14" s="63">
        <v>1698.3040000000001</v>
      </c>
      <c r="V14" s="53">
        <v>30</v>
      </c>
      <c r="W14" s="54">
        <v>735</v>
      </c>
      <c r="X14" s="54">
        <v>120</v>
      </c>
      <c r="Y14" s="64"/>
      <c r="Z14" s="64"/>
      <c r="AA14" s="65">
        <v>2583.3040000000001</v>
      </c>
      <c r="AB14" s="65">
        <v>8686.0076363636363</v>
      </c>
      <c r="AC14" s="66"/>
      <c r="AD14" s="65">
        <v>8686.0076363636363</v>
      </c>
      <c r="AE14" s="67">
        <v>5857.9000000000005</v>
      </c>
      <c r="AF14" s="51"/>
      <c r="AG14" s="68"/>
      <c r="AH14" s="69"/>
      <c r="AI14" s="70"/>
      <c r="AJ14" s="71"/>
      <c r="AK14" s="72"/>
      <c r="AL14" s="57"/>
      <c r="AM14" s="70"/>
      <c r="AN14" s="73">
        <v>-1142.0999999999995</v>
      </c>
      <c r="AO14" s="73">
        <v>-342.62999999999982</v>
      </c>
      <c r="AR14" s="73"/>
      <c r="AS14" s="73"/>
      <c r="AT14" s="74"/>
      <c r="AU14" s="73"/>
    </row>
    <row r="15" spans="1:47" s="1" customFormat="1" ht="33" customHeight="1" x14ac:dyDescent="0.25">
      <c r="A15" s="51">
        <v>8</v>
      </c>
      <c r="B15" s="76" t="s">
        <v>51</v>
      </c>
      <c r="C15" s="52" t="s">
        <v>42</v>
      </c>
      <c r="D15" s="53">
        <v>100</v>
      </c>
      <c r="E15" s="54">
        <v>6305.22</v>
      </c>
      <c r="F15" s="55">
        <v>22</v>
      </c>
      <c r="G15" s="56">
        <v>1085</v>
      </c>
      <c r="H15" s="54">
        <v>0</v>
      </c>
      <c r="I15" s="54">
        <v>872</v>
      </c>
      <c r="J15" s="57"/>
      <c r="K15" s="54">
        <v>200</v>
      </c>
      <c r="L15" s="75">
        <v>200</v>
      </c>
      <c r="M15" s="54"/>
      <c r="N15" s="58"/>
      <c r="O15" s="54"/>
      <c r="P15" s="54"/>
      <c r="Q15" s="59"/>
      <c r="R15" s="60">
        <v>10</v>
      </c>
      <c r="S15" s="61">
        <v>8772.2200000000012</v>
      </c>
      <c r="T15" s="62">
        <v>500</v>
      </c>
      <c r="U15" s="63"/>
      <c r="V15" s="53">
        <v>30</v>
      </c>
      <c r="W15" s="54">
        <v>0</v>
      </c>
      <c r="X15" s="54"/>
      <c r="Y15" s="64"/>
      <c r="Z15" s="64"/>
      <c r="AA15" s="65">
        <v>530</v>
      </c>
      <c r="AB15" s="65">
        <v>8242.2200000000012</v>
      </c>
      <c r="AC15" s="66"/>
      <c r="AD15" s="65">
        <v>8242.2200000000012</v>
      </c>
      <c r="AE15" s="67">
        <v>6305.22</v>
      </c>
      <c r="AF15" s="77"/>
      <c r="AG15" s="78"/>
      <c r="AH15" s="79"/>
      <c r="AI15" s="80"/>
      <c r="AJ15" s="81"/>
      <c r="AK15" s="82"/>
      <c r="AL15" s="83"/>
      <c r="AM15" s="80"/>
      <c r="AN15" s="73">
        <v>-694.77999999999975</v>
      </c>
      <c r="AO15" s="73">
        <v>-208.43399999999991</v>
      </c>
      <c r="AR15" s="73"/>
      <c r="AS15" s="101"/>
      <c r="AT15" s="74"/>
      <c r="AU15" s="73"/>
    </row>
    <row r="16" spans="1:47" ht="33" customHeight="1" x14ac:dyDescent="0.25">
      <c r="A16" s="26" t="s">
        <v>54</v>
      </c>
      <c r="B16" s="31"/>
      <c r="C16" s="87"/>
      <c r="D16" s="62"/>
      <c r="E16" s="88">
        <v>53276.68</v>
      </c>
      <c r="F16" s="89"/>
      <c r="G16" s="90">
        <v>8775</v>
      </c>
      <c r="H16" s="90">
        <v>13220</v>
      </c>
      <c r="I16" s="90">
        <v>6136</v>
      </c>
      <c r="J16" s="90">
        <v>0</v>
      </c>
      <c r="K16" s="90">
        <v>3100</v>
      </c>
      <c r="L16" s="90">
        <v>2000</v>
      </c>
      <c r="M16" s="90">
        <v>1500</v>
      </c>
      <c r="N16" s="90">
        <v>7987.3359999999993</v>
      </c>
      <c r="O16" s="90">
        <v>5086.5</v>
      </c>
      <c r="P16" s="90">
        <v>500</v>
      </c>
      <c r="Q16" s="90">
        <v>908.97599999999977</v>
      </c>
      <c r="R16" s="90">
        <v>571</v>
      </c>
      <c r="S16" s="90">
        <v>107646.492</v>
      </c>
      <c r="T16" s="90">
        <v>500</v>
      </c>
      <c r="U16" s="90">
        <v>11888.128000000001</v>
      </c>
      <c r="V16" s="90">
        <v>240</v>
      </c>
      <c r="W16" s="90">
        <v>5086.5</v>
      </c>
      <c r="X16" s="90">
        <v>685.21199999999999</v>
      </c>
      <c r="Y16" s="90">
        <v>0</v>
      </c>
      <c r="Z16" s="90">
        <v>0</v>
      </c>
      <c r="AA16" s="90">
        <v>18399.840000000004</v>
      </c>
      <c r="AB16" s="90">
        <v>89246.652000000002</v>
      </c>
      <c r="AC16" s="90">
        <v>0</v>
      </c>
      <c r="AD16" s="90">
        <v>89246.652000000002</v>
      </c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U17" s="96"/>
      <c r="V17" s="93"/>
      <c r="W17" s="96"/>
      <c r="X17" s="93"/>
      <c r="Y17" s="93"/>
      <c r="Z17" s="93"/>
      <c r="AA17" s="96"/>
      <c r="AB17" s="96"/>
      <c r="AC17" s="93"/>
      <c r="AD17" s="96"/>
    </row>
    <row r="18" spans="1:42" ht="12" customHeight="1" x14ac:dyDescent="0.25">
      <c r="A18" s="91"/>
      <c r="B18" s="91"/>
      <c r="C18" s="92"/>
      <c r="D18" s="93"/>
      <c r="E18" s="94"/>
      <c r="F18" s="95"/>
      <c r="G18" s="93"/>
      <c r="H18" s="93"/>
      <c r="I18" s="96"/>
      <c r="J18" s="93"/>
      <c r="K18" s="93"/>
      <c r="L18" s="92"/>
      <c r="M18" s="93"/>
      <c r="N18" s="96"/>
      <c r="O18" s="96"/>
      <c r="P18" s="93"/>
      <c r="Q18" s="93"/>
      <c r="R18" s="93"/>
      <c r="S18" s="96"/>
      <c r="T18" s="93"/>
      <c r="Y18" s="93"/>
      <c r="Z18" s="97" t="s">
        <v>55</v>
      </c>
      <c r="AA18" s="96"/>
      <c r="AB18" s="96"/>
      <c r="AC18" s="93"/>
      <c r="AD18" s="96"/>
    </row>
    <row r="19" spans="1:42" x14ac:dyDescent="0.25">
      <c r="A19" s="1"/>
      <c r="B19" s="1"/>
      <c r="C19" s="15" t="s">
        <v>56</v>
      </c>
      <c r="D19" s="15"/>
      <c r="E19" s="15"/>
      <c r="F19" s="98"/>
      <c r="G19" s="1"/>
      <c r="H19" s="1"/>
      <c r="I19" s="1"/>
      <c r="J19" s="1"/>
      <c r="K19" s="1"/>
      <c r="M19" s="1"/>
      <c r="O19" s="32" t="s">
        <v>57</v>
      </c>
      <c r="P19" s="1"/>
      <c r="Q19" s="1"/>
      <c r="R19" s="1"/>
      <c r="S19" s="99"/>
      <c r="T19" s="1"/>
      <c r="U19" s="1"/>
      <c r="V19" s="1"/>
      <c r="X19" s="1"/>
      <c r="Y19" s="1"/>
      <c r="Z19" s="1"/>
      <c r="AA19" s="32" t="s">
        <v>58</v>
      </c>
      <c r="AD19" s="1"/>
    </row>
    <row r="20" spans="1:42" x14ac:dyDescent="0.25">
      <c r="B20" s="1"/>
      <c r="D20" s="6"/>
      <c r="H20" s="67"/>
      <c r="O20" s="6"/>
      <c r="S20" s="100"/>
      <c r="T20" s="100"/>
      <c r="X20" s="101"/>
      <c r="AA20" s="6"/>
    </row>
    <row r="21" spans="1:42" x14ac:dyDescent="0.25">
      <c r="B21" s="1"/>
      <c r="D21" s="6"/>
      <c r="J21" s="67"/>
      <c r="O21" s="6"/>
      <c r="S21" s="102"/>
      <c r="T21" s="100"/>
      <c r="U21" s="103"/>
      <c r="AA21" s="6"/>
      <c r="AB21" s="74"/>
      <c r="AC21" s="74"/>
    </row>
    <row r="22" spans="1:42" x14ac:dyDescent="0.25">
      <c r="B22" s="1"/>
      <c r="D22" s="6"/>
      <c r="O22" s="6"/>
      <c r="S22" s="104"/>
      <c r="T22" s="100"/>
      <c r="U22" s="103"/>
      <c r="AA22" s="6"/>
      <c r="AP22" s="67"/>
    </row>
    <row r="23" spans="1:42" s="112" customFormat="1" ht="12.75" x14ac:dyDescent="0.25">
      <c r="A23" s="105"/>
      <c r="B23" s="105"/>
      <c r="C23" s="105"/>
      <c r="D23" s="106" t="s">
        <v>59</v>
      </c>
      <c r="E23" s="107"/>
      <c r="F23" s="108"/>
      <c r="G23" s="105"/>
      <c r="H23" s="105"/>
      <c r="I23" s="105"/>
      <c r="J23" s="105"/>
      <c r="K23" s="105"/>
      <c r="L23" s="109"/>
      <c r="M23" s="105"/>
      <c r="N23" s="110" t="s">
        <v>60</v>
      </c>
      <c r="O23" s="110"/>
      <c r="P23" s="110"/>
      <c r="Q23" s="105"/>
      <c r="R23" s="105"/>
      <c r="S23" s="111"/>
      <c r="T23" s="105"/>
      <c r="U23" s="105"/>
      <c r="V23" s="105"/>
      <c r="X23" s="105"/>
      <c r="Y23" s="105"/>
      <c r="Z23" s="105"/>
      <c r="AA23" s="106" t="s">
        <v>61</v>
      </c>
      <c r="AB23" s="105"/>
      <c r="AC23" s="105"/>
      <c r="AD23" s="113"/>
      <c r="AF23" s="109"/>
      <c r="AH23" s="109"/>
      <c r="AJ23" s="109"/>
      <c r="AK23" s="109"/>
      <c r="AP23" s="114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"/>
      <c r="K24" s="1"/>
      <c r="L24" s="32"/>
      <c r="M24" s="1"/>
      <c r="N24" s="1"/>
      <c r="O24" s="1"/>
      <c r="P24" s="1"/>
      <c r="Q24" s="1"/>
      <c r="R24" s="1"/>
      <c r="S24" s="115"/>
      <c r="T24" s="1"/>
      <c r="U24" s="1"/>
      <c r="V24" s="1"/>
      <c r="W24" s="1"/>
      <c r="X24" s="1"/>
      <c r="Y24" s="1"/>
      <c r="Z24" s="1"/>
      <c r="AD24" s="1"/>
      <c r="AE24" s="103"/>
      <c r="AN24" s="67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16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P26" s="67"/>
    </row>
    <row r="27" spans="1:42" x14ac:dyDescent="0.25">
      <c r="A27" s="1"/>
      <c r="B27" s="1"/>
      <c r="C27" s="1"/>
      <c r="D27" s="1"/>
      <c r="E27" s="73"/>
      <c r="F27" s="98"/>
      <c r="G27" s="1"/>
      <c r="H27" s="1"/>
      <c r="I27" s="1"/>
      <c r="J27" s="1"/>
      <c r="K27" s="1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D27" s="1"/>
      <c r="AN27" s="67"/>
      <c r="AP27" s="67"/>
    </row>
    <row r="28" spans="1:42" s="1" customFormat="1" x14ac:dyDescent="0.25">
      <c r="E28" s="73"/>
      <c r="F28" s="98"/>
      <c r="L28" s="32"/>
      <c r="AF28" s="6"/>
      <c r="AG28" s="4"/>
      <c r="AH28" s="6"/>
      <c r="AI28" s="4"/>
      <c r="AJ28" s="6"/>
      <c r="AK28" s="6"/>
      <c r="AL28" s="4"/>
      <c r="AM28" s="4"/>
      <c r="AP28" s="67"/>
    </row>
    <row r="29" spans="1:42" x14ac:dyDescent="0.25">
      <c r="AP29" s="67"/>
    </row>
    <row r="30" spans="1:42" x14ac:dyDescent="0.25">
      <c r="W30" s="103"/>
      <c r="AP30" s="67"/>
    </row>
    <row r="31" spans="1:42" x14ac:dyDescent="0.25">
      <c r="W31" s="103"/>
      <c r="AP31" s="67"/>
    </row>
    <row r="32" spans="1:42" x14ac:dyDescent="0.25">
      <c r="A32" s="8"/>
      <c r="B32" s="8"/>
      <c r="O32" s="103"/>
      <c r="AP32" s="67"/>
    </row>
    <row r="33" spans="1:45" x14ac:dyDescent="0.25">
      <c r="A33" s="8"/>
      <c r="B33" s="8"/>
      <c r="S33" s="8"/>
      <c r="T33" s="8"/>
      <c r="U33" s="8"/>
      <c r="V33" s="8"/>
      <c r="W33" s="8"/>
      <c r="X33" s="8"/>
      <c r="AA33" s="8"/>
      <c r="AB33" s="8"/>
      <c r="AC33" s="8"/>
      <c r="AD33" s="8"/>
      <c r="AP33" s="67"/>
    </row>
    <row r="34" spans="1:45" x14ac:dyDescent="0.25">
      <c r="A34" s="8"/>
      <c r="B34" s="8"/>
      <c r="AP34" s="67"/>
    </row>
    <row r="35" spans="1:45" s="8" customFormat="1" ht="15" customHeight="1" x14ac:dyDescent="0.25"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ht="15" customHeigh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7"/>
      <c r="I38" s="118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/>
      <c r="AH38" s="6"/>
      <c r="AI38" s="4"/>
      <c r="AJ38" s="6"/>
      <c r="AK38" s="6"/>
      <c r="AL38" s="4"/>
      <c r="AM38" s="4"/>
      <c r="AP38" s="67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6"/>
      <c r="AG39" s="4" t="s">
        <v>62</v>
      </c>
      <c r="AH39" s="6"/>
      <c r="AI39" s="4"/>
      <c r="AJ39" s="6"/>
      <c r="AK39" s="6"/>
      <c r="AL39" s="4"/>
      <c r="AM39" s="4"/>
      <c r="AN39" s="119"/>
      <c r="AO39" s="4"/>
      <c r="AP39" s="67"/>
      <c r="AQ39" s="4"/>
      <c r="AR39" s="4"/>
      <c r="AS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63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A41" s="6"/>
      <c r="B41" s="4"/>
      <c r="C41" s="6"/>
      <c r="D41" s="4"/>
      <c r="F41" s="11"/>
      <c r="G41" s="4"/>
      <c r="H41" s="4"/>
      <c r="I41" s="5"/>
      <c r="J41" s="4"/>
      <c r="K41" s="4"/>
      <c r="L41" s="6"/>
      <c r="M41" s="4"/>
      <c r="N41" s="4"/>
      <c r="O41" s="4"/>
      <c r="P41" s="4"/>
      <c r="Q41" s="4"/>
      <c r="R41" s="4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64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s="8" customFormat="1" x14ac:dyDescent="0.25">
      <c r="B42" s="4"/>
      <c r="F42" s="117"/>
      <c r="I42" s="118"/>
      <c r="L42" s="121"/>
      <c r="S42" s="7"/>
      <c r="T42" s="7"/>
      <c r="U42" s="4"/>
      <c r="V42" s="4"/>
      <c r="W42" s="4"/>
      <c r="X42" s="4"/>
      <c r="AA42" s="1"/>
      <c r="AB42" s="1"/>
      <c r="AC42" s="1"/>
      <c r="AD42" s="4"/>
      <c r="AE42" s="4"/>
      <c r="AF42" s="120" t="s">
        <v>65</v>
      </c>
      <c r="AG42" s="4"/>
      <c r="AH42" s="6"/>
      <c r="AI42" s="4"/>
      <c r="AJ42" s="6"/>
      <c r="AK42" s="6"/>
      <c r="AL42" s="4"/>
      <c r="AM42" s="4"/>
      <c r="AN42" s="4"/>
      <c r="AO42" s="4"/>
      <c r="AP42" s="67"/>
      <c r="AQ42" s="4"/>
    </row>
    <row r="43" spans="1:45" x14ac:dyDescent="0.25">
      <c r="AP43" s="67"/>
    </row>
    <row r="44" spans="1:45" s="8" customFormat="1" x14ac:dyDescent="0.25">
      <c r="A44" s="6"/>
      <c r="B44" s="4"/>
      <c r="C44" s="6"/>
      <c r="D44" s="4"/>
      <c r="F44" s="11"/>
      <c r="G44" s="4"/>
      <c r="H44" s="4"/>
      <c r="I44" s="5"/>
      <c r="J44" s="4"/>
      <c r="K44" s="4"/>
      <c r="L44" s="6"/>
      <c r="M44" s="4"/>
      <c r="N44" s="4"/>
      <c r="O44" s="4"/>
      <c r="P44" s="4"/>
      <c r="Q44" s="4"/>
      <c r="R44" s="4"/>
      <c r="S44" s="7"/>
      <c r="T44" s="7"/>
      <c r="U44" s="4"/>
      <c r="V44" s="4"/>
      <c r="W44" s="4"/>
      <c r="X44" s="4"/>
      <c r="AA44" s="1"/>
      <c r="AB44" s="1"/>
      <c r="AC44" s="1"/>
      <c r="AD44" s="4"/>
      <c r="AE44" s="4"/>
      <c r="AF44" s="6"/>
      <c r="AG44" s="4"/>
      <c r="AH44" s="6"/>
      <c r="AI44" s="4"/>
      <c r="AJ44" s="6"/>
      <c r="AK44" s="6"/>
      <c r="AL44" s="4"/>
      <c r="AM44" s="4"/>
      <c r="AN44" s="4"/>
      <c r="AO44" s="4"/>
      <c r="AP44" s="67"/>
      <c r="AQ44" s="4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3" spans="2:42" x14ac:dyDescent="0.25">
      <c r="AP53" s="67"/>
    </row>
    <row r="56" spans="2:42" x14ac:dyDescent="0.25">
      <c r="B56" s="103"/>
      <c r="E56" s="122"/>
      <c r="F56" s="122"/>
    </row>
    <row r="61" spans="2:42" x14ac:dyDescent="0.25">
      <c r="V61" s="123"/>
    </row>
    <row r="92" spans="2:43" s="6" customFormat="1" x14ac:dyDescent="0.25">
      <c r="B92" s="4"/>
      <c r="D92" s="4"/>
      <c r="E92" s="8"/>
      <c r="F92" s="11"/>
      <c r="G92" s="4"/>
      <c r="H92" s="4"/>
      <c r="I92" s="5"/>
      <c r="J92" s="4"/>
      <c r="K92" s="4"/>
      <c r="M92" s="4"/>
      <c r="N92" s="4"/>
      <c r="O92" s="4"/>
      <c r="P92" s="4"/>
      <c r="Q92" s="4"/>
      <c r="R92" s="4"/>
      <c r="S92" s="7"/>
      <c r="T92" s="7"/>
      <c r="U92" s="4"/>
      <c r="V92" s="4"/>
      <c r="W92" s="4"/>
      <c r="X92" s="4"/>
      <c r="Y92" s="8"/>
      <c r="Z92" s="8"/>
      <c r="AA92" s="1"/>
      <c r="AB92" s="1"/>
      <c r="AC92" s="1"/>
      <c r="AD92" s="4"/>
      <c r="AE92" s="4"/>
      <c r="AG92" s="4"/>
      <c r="AI92" s="4"/>
      <c r="AL92" s="4"/>
      <c r="AM92" s="4"/>
      <c r="AN92" s="4"/>
      <c r="AO92" s="4"/>
      <c r="AP92" s="4"/>
      <c r="AQ92" s="4"/>
    </row>
    <row r="93" spans="2:43" x14ac:dyDescent="0.25">
      <c r="B93" s="124"/>
    </row>
    <row r="96" spans="2:43" s="6" customFormat="1" x14ac:dyDescent="0.25">
      <c r="B96" s="4"/>
      <c r="D96" s="4"/>
      <c r="E96" s="8"/>
      <c r="F96" s="11"/>
      <c r="G96" s="4"/>
      <c r="H96" s="4"/>
      <c r="I96" s="5"/>
      <c r="J96" s="4"/>
      <c r="K96" s="4"/>
      <c r="M96" s="4"/>
      <c r="N96" s="4"/>
      <c r="O96" s="4"/>
      <c r="P96" s="4"/>
      <c r="Q96" s="4"/>
      <c r="R96" s="4"/>
      <c r="S96" s="7"/>
      <c r="T96" s="7"/>
      <c r="U96" s="4"/>
      <c r="V96" s="4"/>
      <c r="W96" s="4"/>
      <c r="X96" s="4"/>
      <c r="Y96" s="8"/>
      <c r="Z96" s="8"/>
      <c r="AA96" s="1"/>
      <c r="AB96" s="1"/>
      <c r="AC96" s="1"/>
      <c r="AD96" s="4"/>
      <c r="AE96" s="4"/>
      <c r="AG96" s="4"/>
      <c r="AI96" s="4"/>
      <c r="AL96" s="4"/>
      <c r="AM96" s="4"/>
      <c r="AN96" s="4"/>
      <c r="AO96" s="4"/>
      <c r="AP96" s="4"/>
      <c r="AQ96" s="4"/>
    </row>
    <row r="97" spans="1:1" x14ac:dyDescent="0.25">
      <c r="A97" s="51"/>
    </row>
  </sheetData>
  <mergeCells count="50">
    <mergeCell ref="Y6:Y7"/>
    <mergeCell ref="Z6:Z7"/>
    <mergeCell ref="A16:B16"/>
    <mergeCell ref="C19:E19"/>
    <mergeCell ref="N23:P23"/>
    <mergeCell ref="E56:F56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workbookViewId="0">
      <selection activeCell="T26" sqref="T26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9.85546875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9.85546875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9.85546875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9.85546875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9.85546875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9.85546875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9.85546875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9.85546875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9.85546875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9.85546875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9.85546875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9.85546875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9.85546875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9.85546875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9.85546875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9.85546875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9.85546875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9.85546875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9.85546875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9.85546875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9.85546875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9.85546875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9.85546875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9.85546875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9.85546875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9.85546875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9.85546875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9.85546875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9.85546875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9.85546875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9.85546875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9.85546875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9.85546875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9.85546875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9.85546875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9.85546875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9.85546875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9.85546875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9.85546875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9.85546875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9.85546875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9.85546875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9.85546875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9.85546875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9.85546875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9.85546875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9.85546875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9.85546875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9.85546875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9.85546875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9.85546875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9.85546875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9.85546875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9.85546875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9.85546875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9.85546875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9.85546875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9.85546875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9.85546875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9.85546875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9.85546875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9.85546875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9.85546875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91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 t="s">
        <v>73</v>
      </c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3500</v>
      </c>
      <c r="D8" s="143">
        <v>8900</v>
      </c>
      <c r="E8" s="143">
        <v>7550</v>
      </c>
      <c r="F8" s="143">
        <v>1000</v>
      </c>
      <c r="G8" s="143">
        <v>750</v>
      </c>
      <c r="H8" s="143">
        <v>1500</v>
      </c>
      <c r="I8" s="143">
        <v>8600</v>
      </c>
      <c r="J8" s="143"/>
      <c r="K8" s="143"/>
      <c r="L8" s="143"/>
      <c r="M8" s="143"/>
      <c r="N8" s="143">
        <v>3000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7</v>
      </c>
      <c r="D9" s="146">
        <v>16.5</v>
      </c>
      <c r="E9" s="146">
        <v>11.5</v>
      </c>
      <c r="F9" s="146">
        <v>2</v>
      </c>
      <c r="G9" s="146">
        <v>1.5</v>
      </c>
      <c r="H9" s="146">
        <v>3</v>
      </c>
      <c r="I9" s="146">
        <v>16</v>
      </c>
      <c r="J9" s="146"/>
      <c r="K9" s="148"/>
      <c r="L9" s="146"/>
      <c r="M9" s="146"/>
      <c r="N9" s="146">
        <v>6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12285</v>
      </c>
      <c r="D10" s="152">
        <v>4319</v>
      </c>
      <c r="E10" s="152">
        <v>14123</v>
      </c>
      <c r="F10" s="152">
        <v>14640</v>
      </c>
      <c r="G10" s="154">
        <v>16471</v>
      </c>
      <c r="H10" s="154">
        <v>15743</v>
      </c>
      <c r="I10" s="154">
        <v>13518</v>
      </c>
      <c r="J10" s="152"/>
      <c r="K10" s="152"/>
      <c r="L10" s="152"/>
      <c r="M10" s="152"/>
      <c r="N10" s="152">
        <v>11343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12390</v>
      </c>
      <c r="D12" s="141">
        <v>8090</v>
      </c>
      <c r="E12" s="141">
        <v>21905</v>
      </c>
      <c r="F12" s="141">
        <v>7995</v>
      </c>
      <c r="G12" s="160">
        <v>5935</v>
      </c>
      <c r="H12" s="160">
        <v>5290</v>
      </c>
      <c r="I12" s="160">
        <v>12405</v>
      </c>
      <c r="J12" s="143"/>
      <c r="K12" s="141"/>
      <c r="L12" s="141"/>
      <c r="M12" s="141"/>
      <c r="N12" s="141">
        <f>10435+985+4490</f>
        <v>15910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2795</v>
      </c>
      <c r="D13" s="141">
        <v>1646</v>
      </c>
      <c r="E13" s="141">
        <v>5630</v>
      </c>
      <c r="F13" s="141">
        <v>730</v>
      </c>
      <c r="G13" s="160">
        <v>1050</v>
      </c>
      <c r="H13" s="160">
        <v>2705</v>
      </c>
      <c r="I13" s="160">
        <v>3210</v>
      </c>
      <c r="J13" s="143"/>
      <c r="K13" s="143"/>
      <c r="L13" s="141"/>
      <c r="M13" s="141"/>
      <c r="N13" s="141">
        <v>2791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/>
      <c r="D14" s="141">
        <v>3000</v>
      </c>
      <c r="E14" s="141"/>
      <c r="F14" s="141"/>
      <c r="G14" s="160"/>
      <c r="H14" s="160"/>
      <c r="I14" s="160"/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30970</v>
      </c>
      <c r="D18" s="164">
        <f>SUM(D10:D17)+D8</f>
        <v>25955</v>
      </c>
      <c r="E18" s="164">
        <f>SUM(E10:E17)+E8</f>
        <v>49208</v>
      </c>
      <c r="F18" s="164">
        <f>SUM(F10:F17)+F8</f>
        <v>24365</v>
      </c>
      <c r="G18" s="164">
        <f t="shared" ref="G18:N18" si="0">SUM(G10:G17)+G8</f>
        <v>24206</v>
      </c>
      <c r="H18" s="164">
        <f t="shared" si="0"/>
        <v>25238</v>
      </c>
      <c r="I18" s="164">
        <f>SUM(I10:I17)+I8</f>
        <v>37733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33044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490</v>
      </c>
      <c r="D19" s="165">
        <f t="shared" ref="D19:N19" si="1">D9*70</f>
        <v>1155</v>
      </c>
      <c r="E19" s="165">
        <f t="shared" si="1"/>
        <v>805</v>
      </c>
      <c r="F19" s="165">
        <f t="shared" si="1"/>
        <v>140</v>
      </c>
      <c r="G19" s="165">
        <f t="shared" si="1"/>
        <v>105</v>
      </c>
      <c r="H19" s="165">
        <f t="shared" si="1"/>
        <v>210</v>
      </c>
      <c r="I19" s="165">
        <f t="shared" si="1"/>
        <v>1120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420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3931.2000000000003</v>
      </c>
      <c r="D20" s="165">
        <f t="shared" si="2"/>
        <v>1382.08</v>
      </c>
      <c r="E20" s="165">
        <f t="shared" si="2"/>
        <v>4519.3599999999997</v>
      </c>
      <c r="F20" s="165">
        <f t="shared" si="2"/>
        <v>4684.8</v>
      </c>
      <c r="G20" s="165">
        <f t="shared" si="2"/>
        <v>5270.72</v>
      </c>
      <c r="H20" s="165">
        <f t="shared" si="2"/>
        <v>5037.76</v>
      </c>
      <c r="I20" s="165">
        <f t="shared" si="2"/>
        <v>4325.76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3629.76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1239</v>
      </c>
      <c r="D22" s="165">
        <f t="shared" si="4"/>
        <v>809</v>
      </c>
      <c r="E22" s="165">
        <f t="shared" si="4"/>
        <v>2190.5</v>
      </c>
      <c r="F22" s="165">
        <f t="shared" si="4"/>
        <v>799.5</v>
      </c>
      <c r="G22" s="165">
        <f t="shared" si="4"/>
        <v>593.5</v>
      </c>
      <c r="H22" s="165">
        <f t="shared" si="4"/>
        <v>529</v>
      </c>
      <c r="I22" s="165">
        <f t="shared" si="4"/>
        <v>1240.5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1591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894.4</v>
      </c>
      <c r="D23" s="165">
        <f t="shared" si="5"/>
        <v>526.72</v>
      </c>
      <c r="E23" s="165">
        <f t="shared" si="5"/>
        <v>1801.6000000000001</v>
      </c>
      <c r="F23" s="165">
        <f t="shared" si="5"/>
        <v>233.6</v>
      </c>
      <c r="G23" s="165">
        <f t="shared" si="5"/>
        <v>336</v>
      </c>
      <c r="H23" s="165">
        <f t="shared" si="5"/>
        <v>865.6</v>
      </c>
      <c r="I23" s="165">
        <f t="shared" si="5"/>
        <v>1027.2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893.12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0</v>
      </c>
      <c r="D24" s="165">
        <f t="shared" si="6"/>
        <v>480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6554.6</v>
      </c>
      <c r="D28" s="168">
        <f t="shared" si="9"/>
        <v>4352.8</v>
      </c>
      <c r="E28" s="168">
        <f t="shared" si="9"/>
        <v>9316.4599999999991</v>
      </c>
      <c r="F28" s="168">
        <f t="shared" si="9"/>
        <v>5857.9000000000005</v>
      </c>
      <c r="G28" s="168">
        <f t="shared" si="9"/>
        <v>6305.22</v>
      </c>
      <c r="H28" s="168">
        <f t="shared" si="9"/>
        <v>6642.3600000000006</v>
      </c>
      <c r="I28" s="168">
        <f t="shared" si="9"/>
        <v>7713.46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6533.88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53276.68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7"/>
  <sheetViews>
    <sheetView workbookViewId="0">
      <selection activeCell="E10" sqref="E10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95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5400.76</v>
      </c>
      <c r="F8" s="55">
        <v>27</v>
      </c>
      <c r="G8" s="56">
        <v>1800</v>
      </c>
      <c r="H8" s="54">
        <v>3575</v>
      </c>
      <c r="I8" s="54">
        <v>427</v>
      </c>
      <c r="J8" s="57"/>
      <c r="K8" s="54">
        <v>550</v>
      </c>
      <c r="L8" s="6">
        <v>200</v>
      </c>
      <c r="M8" s="54">
        <v>1500</v>
      </c>
      <c r="N8" s="58">
        <v>1141.048</v>
      </c>
      <c r="O8" s="54">
        <v>810</v>
      </c>
      <c r="P8" s="54">
        <v>100</v>
      </c>
      <c r="Q8" s="59"/>
      <c r="R8" s="60">
        <v>35</v>
      </c>
      <c r="S8" s="61">
        <v>16510.808000000001</v>
      </c>
      <c r="T8" s="62"/>
      <c r="U8" s="63">
        <v>1698.3040000000001</v>
      </c>
      <c r="V8" s="53">
        <v>30</v>
      </c>
      <c r="W8" s="54">
        <v>810</v>
      </c>
      <c r="X8" s="54">
        <v>160</v>
      </c>
      <c r="Y8" s="64"/>
      <c r="Z8" s="64"/>
      <c r="AA8" s="65">
        <v>2698.3040000000001</v>
      </c>
      <c r="AB8" s="65">
        <v>13812.504000000001</v>
      </c>
      <c r="AC8" s="66"/>
      <c r="AD8" s="65">
        <v>13812.504000000001</v>
      </c>
      <c r="AE8" s="67">
        <v>5400.76</v>
      </c>
      <c r="AF8" s="51"/>
      <c r="AG8" s="68"/>
      <c r="AH8" s="69"/>
      <c r="AI8" s="70"/>
      <c r="AJ8" s="71"/>
      <c r="AK8" s="72"/>
      <c r="AL8" s="57"/>
      <c r="AM8" s="70"/>
      <c r="AN8" s="73">
        <v>-1599.2399999999998</v>
      </c>
      <c r="AO8" s="73">
        <v>-479.77199999999993</v>
      </c>
      <c r="AR8" s="73">
        <v>16551.308000000001</v>
      </c>
      <c r="AS8" s="73">
        <v>-40.5</v>
      </c>
      <c r="AT8" s="74">
        <v>2698.3040000000001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800</v>
      </c>
      <c r="E9" s="54">
        <v>8957.26</v>
      </c>
      <c r="F9" s="55">
        <v>27</v>
      </c>
      <c r="G9" s="56">
        <v>1830</v>
      </c>
      <c r="H9" s="54">
        <v>200</v>
      </c>
      <c r="I9" s="54">
        <v>1527</v>
      </c>
      <c r="J9" s="57"/>
      <c r="K9" s="54">
        <v>400</v>
      </c>
      <c r="L9" s="75"/>
      <c r="M9" s="54"/>
      <c r="N9" s="58">
        <v>1141.048</v>
      </c>
      <c r="O9" s="54">
        <v>810</v>
      </c>
      <c r="P9" s="54">
        <v>100</v>
      </c>
      <c r="Q9" s="59">
        <v>587.178</v>
      </c>
      <c r="R9" s="54">
        <v>83</v>
      </c>
      <c r="S9" s="61">
        <v>16499.486000000001</v>
      </c>
      <c r="T9" s="62"/>
      <c r="U9" s="63">
        <v>1698.3040000000001</v>
      </c>
      <c r="V9" s="53">
        <v>30</v>
      </c>
      <c r="W9" s="54">
        <v>810</v>
      </c>
      <c r="X9" s="54">
        <v>159.58699999999999</v>
      </c>
      <c r="Y9" s="64"/>
      <c r="Z9" s="64"/>
      <c r="AA9" s="65">
        <v>2697.8910000000001</v>
      </c>
      <c r="AB9" s="65">
        <v>13801.595000000001</v>
      </c>
      <c r="AC9" s="66"/>
      <c r="AD9" s="65">
        <v>13801.595000000001</v>
      </c>
      <c r="AE9" s="67">
        <v>8957.26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1957.2600000000002</v>
      </c>
      <c r="AO9" s="73">
        <v>587.178</v>
      </c>
      <c r="AP9" s="1"/>
      <c r="AQ9" s="73"/>
      <c r="AR9" s="73">
        <v>16535.486000000001</v>
      </c>
      <c r="AS9" s="73">
        <v>-36</v>
      </c>
      <c r="AT9" s="74">
        <v>2697.8910000000001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400</v>
      </c>
      <c r="E10" s="54">
        <v>7602.04</v>
      </c>
      <c r="F10" s="55">
        <v>26</v>
      </c>
      <c r="G10" s="56">
        <v>40</v>
      </c>
      <c r="H10" s="54"/>
      <c r="I10" s="54">
        <v>1026</v>
      </c>
      <c r="J10" s="57"/>
      <c r="K10" s="54">
        <v>100</v>
      </c>
      <c r="L10" s="75">
        <v>200</v>
      </c>
      <c r="M10" s="54"/>
      <c r="N10" s="58">
        <v>1141.048</v>
      </c>
      <c r="O10" s="54">
        <v>780</v>
      </c>
      <c r="P10" s="54">
        <v>100</v>
      </c>
      <c r="Q10" s="59">
        <v>180.61199999999999</v>
      </c>
      <c r="R10" s="60">
        <v>115</v>
      </c>
      <c r="S10" s="61">
        <v>11700.7</v>
      </c>
      <c r="T10" s="62"/>
      <c r="U10" s="63">
        <v>1698.3040000000001</v>
      </c>
      <c r="V10" s="53">
        <v>30</v>
      </c>
      <c r="W10" s="54">
        <v>780</v>
      </c>
      <c r="X10" s="54">
        <v>154.10499999999999</v>
      </c>
      <c r="Y10" s="64"/>
      <c r="Z10" s="64"/>
      <c r="AA10" s="65">
        <v>2662.4090000000001</v>
      </c>
      <c r="AB10" s="65">
        <v>9038.2910000000011</v>
      </c>
      <c r="AC10" s="66"/>
      <c r="AD10" s="65">
        <v>9038.2910000000011</v>
      </c>
      <c r="AE10" s="67">
        <v>7602.04</v>
      </c>
      <c r="AF10" s="51"/>
      <c r="AG10" s="68"/>
      <c r="AH10" s="69"/>
      <c r="AI10" s="70"/>
      <c r="AJ10" s="71"/>
      <c r="AK10" s="72"/>
      <c r="AL10" s="57"/>
      <c r="AM10" s="70"/>
      <c r="AN10" s="73">
        <v>602.04</v>
      </c>
      <c r="AO10" s="73">
        <v>180.61199999999999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7894.82</v>
      </c>
      <c r="F11" s="55">
        <v>26.5</v>
      </c>
      <c r="G11" s="56">
        <v>1900</v>
      </c>
      <c r="H11" s="54">
        <v>600</v>
      </c>
      <c r="I11" s="54">
        <v>879</v>
      </c>
      <c r="J11" s="57"/>
      <c r="K11" s="54">
        <v>500</v>
      </c>
      <c r="L11" s="75">
        <v>400</v>
      </c>
      <c r="M11" s="54"/>
      <c r="N11" s="58">
        <v>1141.048</v>
      </c>
      <c r="O11" s="54">
        <v>795</v>
      </c>
      <c r="P11" s="54"/>
      <c r="Q11" s="59">
        <v>268.44599999999991</v>
      </c>
      <c r="R11" s="60">
        <v>133</v>
      </c>
      <c r="S11" s="61">
        <v>15253.313999999998</v>
      </c>
      <c r="T11" s="62"/>
      <c r="U11" s="63">
        <v>1698.3040000000001</v>
      </c>
      <c r="V11" s="53">
        <v>30</v>
      </c>
      <c r="W11" s="54">
        <v>795</v>
      </c>
      <c r="X11" s="54"/>
      <c r="Y11" s="64"/>
      <c r="Z11" s="64"/>
      <c r="AA11" s="65">
        <v>2523.3040000000001</v>
      </c>
      <c r="AB11" s="65">
        <v>12730.009999999998</v>
      </c>
      <c r="AC11" s="66"/>
      <c r="AD11" s="65">
        <v>12730.009999999998</v>
      </c>
      <c r="AE11" s="67">
        <v>7894.82</v>
      </c>
      <c r="AF11" s="51"/>
      <c r="AG11" s="68"/>
      <c r="AH11" s="69"/>
      <c r="AI11" s="70"/>
      <c r="AJ11" s="71"/>
      <c r="AK11" s="72"/>
      <c r="AL11" s="57"/>
      <c r="AM11" s="70"/>
      <c r="AN11" s="73">
        <v>894.81999999999971</v>
      </c>
      <c r="AO11" s="73">
        <v>268.44599999999991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9446.9600000000009</v>
      </c>
      <c r="F12" s="55">
        <v>26</v>
      </c>
      <c r="G12" s="56">
        <v>3015</v>
      </c>
      <c r="H12" s="54">
        <v>1828</v>
      </c>
      <c r="I12" s="54">
        <v>940</v>
      </c>
      <c r="J12" s="57"/>
      <c r="K12" s="54">
        <v>600</v>
      </c>
      <c r="L12" s="75">
        <v>400</v>
      </c>
      <c r="M12" s="54"/>
      <c r="N12" s="58">
        <v>1141.048</v>
      </c>
      <c r="O12" s="54">
        <v>780</v>
      </c>
      <c r="P12" s="54"/>
      <c r="Q12" s="59">
        <v>734.08800000000031</v>
      </c>
      <c r="R12" s="60"/>
      <c r="S12" s="61">
        <v>19717.095999999998</v>
      </c>
      <c r="T12" s="62"/>
      <c r="U12" s="63">
        <v>1698.3040000000001</v>
      </c>
      <c r="V12" s="53">
        <v>30</v>
      </c>
      <c r="W12" s="54">
        <v>780</v>
      </c>
      <c r="X12" s="54"/>
      <c r="Y12" s="64"/>
      <c r="Z12" s="64"/>
      <c r="AA12" s="65">
        <v>2508.3040000000001</v>
      </c>
      <c r="AB12" s="65">
        <v>17208.791999999998</v>
      </c>
      <c r="AC12" s="66"/>
      <c r="AD12" s="65">
        <v>17208.791999999998</v>
      </c>
      <c r="AE12" s="67">
        <v>9446.9600000000009</v>
      </c>
      <c r="AF12" s="51"/>
      <c r="AG12" s="68"/>
      <c r="AH12" s="69"/>
      <c r="AI12" s="70"/>
      <c r="AJ12" s="71"/>
      <c r="AK12" s="72"/>
      <c r="AL12" s="57"/>
      <c r="AM12" s="70"/>
      <c r="AN12" s="73">
        <v>2446.9600000000009</v>
      </c>
      <c r="AO12" s="73">
        <v>734.08800000000031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500</v>
      </c>
      <c r="E13" s="54">
        <v>6959.4199999999992</v>
      </c>
      <c r="F13" s="55">
        <v>25</v>
      </c>
      <c r="G13" s="56">
        <v>1500</v>
      </c>
      <c r="H13" s="54">
        <v>600</v>
      </c>
      <c r="I13" s="54">
        <v>880</v>
      </c>
      <c r="J13" s="57"/>
      <c r="K13" s="54">
        <v>550</v>
      </c>
      <c r="L13" s="75">
        <v>400</v>
      </c>
      <c r="M13" s="54"/>
      <c r="N13" s="58">
        <v>1141.048</v>
      </c>
      <c r="O13" s="54">
        <v>750</v>
      </c>
      <c r="P13" s="54">
        <v>100</v>
      </c>
      <c r="Q13" s="59"/>
      <c r="R13" s="60">
        <v>57</v>
      </c>
      <c r="S13" s="61">
        <v>13437.467999999999</v>
      </c>
      <c r="T13" s="62"/>
      <c r="U13" s="63">
        <v>1698.3040000000001</v>
      </c>
      <c r="V13" s="53">
        <v>30</v>
      </c>
      <c r="W13" s="54">
        <v>750</v>
      </c>
      <c r="X13" s="54">
        <v>132.99799999999999</v>
      </c>
      <c r="Y13" s="64"/>
      <c r="Z13" s="64"/>
      <c r="AA13" s="65">
        <v>2611.3020000000001</v>
      </c>
      <c r="AB13" s="65">
        <v>10826.165999999999</v>
      </c>
      <c r="AC13" s="66"/>
      <c r="AD13" s="65">
        <v>10826.165999999999</v>
      </c>
      <c r="AE13" s="67">
        <v>6959.4199999999992</v>
      </c>
      <c r="AF13" s="51"/>
      <c r="AG13" s="68"/>
      <c r="AH13" s="69"/>
      <c r="AI13" s="70"/>
      <c r="AJ13" s="71"/>
      <c r="AK13" s="72"/>
      <c r="AL13" s="57"/>
      <c r="AM13" s="70"/>
      <c r="AN13" s="73">
        <v>-40.580000000000837</v>
      </c>
      <c r="AO13" s="73">
        <v>-12.17400000000025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100</v>
      </c>
      <c r="E14" s="54">
        <v>5511.04</v>
      </c>
      <c r="F14" s="55">
        <v>23</v>
      </c>
      <c r="G14" s="56">
        <v>990</v>
      </c>
      <c r="H14" s="54">
        <v>200</v>
      </c>
      <c r="I14" s="54">
        <v>766</v>
      </c>
      <c r="J14" s="57"/>
      <c r="K14" s="54">
        <v>250</v>
      </c>
      <c r="L14" s="75"/>
      <c r="M14" s="54"/>
      <c r="N14" s="58">
        <v>1141.048</v>
      </c>
      <c r="O14" s="54">
        <v>690</v>
      </c>
      <c r="P14" s="54">
        <v>100</v>
      </c>
      <c r="Q14" s="59"/>
      <c r="R14" s="60">
        <v>33</v>
      </c>
      <c r="S14" s="61">
        <v>9773.0879999999997</v>
      </c>
      <c r="T14" s="62"/>
      <c r="U14" s="63">
        <v>1698.3040000000001</v>
      </c>
      <c r="V14" s="53">
        <v>30</v>
      </c>
      <c r="W14" s="54">
        <v>690</v>
      </c>
      <c r="X14" s="54">
        <v>120</v>
      </c>
      <c r="Y14" s="64"/>
      <c r="Z14" s="64"/>
      <c r="AA14" s="65">
        <v>2538.3040000000001</v>
      </c>
      <c r="AB14" s="65">
        <v>7234.7839999999997</v>
      </c>
      <c r="AC14" s="66"/>
      <c r="AD14" s="65">
        <v>7234.7839999999997</v>
      </c>
      <c r="AE14" s="67">
        <v>5511.04</v>
      </c>
      <c r="AF14" s="51"/>
      <c r="AG14" s="68"/>
      <c r="AH14" s="69"/>
      <c r="AI14" s="70"/>
      <c r="AJ14" s="71"/>
      <c r="AK14" s="72"/>
      <c r="AL14" s="57"/>
      <c r="AM14" s="70"/>
      <c r="AN14" s="73">
        <v>-1488.96</v>
      </c>
      <c r="AO14" s="73">
        <v>-446.68799999999999</v>
      </c>
      <c r="AR14" s="73"/>
      <c r="AS14" s="73"/>
      <c r="AT14" s="74"/>
      <c r="AU14" s="73"/>
    </row>
    <row r="15" spans="1:47" s="1" customFormat="1" ht="33" customHeight="1" x14ac:dyDescent="0.25">
      <c r="A15" s="51">
        <v>8</v>
      </c>
      <c r="B15" s="76" t="s">
        <v>51</v>
      </c>
      <c r="C15" s="52" t="s">
        <v>42</v>
      </c>
      <c r="D15" s="53">
        <v>100</v>
      </c>
      <c r="E15" s="54">
        <v>6340.7800000000007</v>
      </c>
      <c r="F15" s="55">
        <v>23.5</v>
      </c>
      <c r="G15" s="56">
        <v>1180</v>
      </c>
      <c r="H15" s="54">
        <v>0</v>
      </c>
      <c r="I15" s="54">
        <v>897</v>
      </c>
      <c r="J15" s="57"/>
      <c r="K15" s="54">
        <v>300</v>
      </c>
      <c r="L15" s="75"/>
      <c r="M15" s="54"/>
      <c r="N15" s="58"/>
      <c r="O15" s="54"/>
      <c r="P15" s="54"/>
      <c r="Q15" s="59"/>
      <c r="R15" s="60"/>
      <c r="S15" s="61">
        <v>8811.7800000000007</v>
      </c>
      <c r="T15" s="62"/>
      <c r="U15" s="63"/>
      <c r="V15" s="53">
        <v>30</v>
      </c>
      <c r="W15" s="54">
        <v>0</v>
      </c>
      <c r="X15" s="54"/>
      <c r="Y15" s="64"/>
      <c r="Z15" s="64"/>
      <c r="AA15" s="65">
        <v>30</v>
      </c>
      <c r="AB15" s="65">
        <v>8781.7800000000007</v>
      </c>
      <c r="AC15" s="66"/>
      <c r="AD15" s="65">
        <v>8781.7800000000007</v>
      </c>
      <c r="AE15" s="67">
        <v>6340.7800000000007</v>
      </c>
      <c r="AF15" s="77"/>
      <c r="AG15" s="78"/>
      <c r="AH15" s="79"/>
      <c r="AI15" s="80"/>
      <c r="AJ15" s="81"/>
      <c r="AK15" s="82"/>
      <c r="AL15" s="83"/>
      <c r="AM15" s="80"/>
      <c r="AN15" s="73">
        <v>-659.21999999999935</v>
      </c>
      <c r="AO15" s="73">
        <v>-197.76599999999979</v>
      </c>
      <c r="AR15" s="73"/>
      <c r="AS15" s="101"/>
      <c r="AT15" s="74"/>
      <c r="AU15" s="73"/>
    </row>
    <row r="16" spans="1:47" ht="33" customHeight="1" x14ac:dyDescent="0.25">
      <c r="A16" s="26" t="s">
        <v>54</v>
      </c>
      <c r="B16" s="31"/>
      <c r="C16" s="87"/>
      <c r="D16" s="62"/>
      <c r="E16" s="88">
        <v>58113.08</v>
      </c>
      <c r="F16" s="89"/>
      <c r="G16" s="90">
        <v>12255</v>
      </c>
      <c r="H16" s="90">
        <v>7003</v>
      </c>
      <c r="I16" s="90">
        <v>7342</v>
      </c>
      <c r="J16" s="90">
        <v>0</v>
      </c>
      <c r="K16" s="90">
        <v>3250</v>
      </c>
      <c r="L16" s="90">
        <v>1600</v>
      </c>
      <c r="M16" s="90">
        <v>1500</v>
      </c>
      <c r="N16" s="90">
        <v>7987.3359999999993</v>
      </c>
      <c r="O16" s="90">
        <v>5415</v>
      </c>
      <c r="P16" s="90">
        <v>500</v>
      </c>
      <c r="Q16" s="90">
        <v>1770.3240000000001</v>
      </c>
      <c r="R16" s="90">
        <v>456</v>
      </c>
      <c r="S16" s="90">
        <v>111703.74</v>
      </c>
      <c r="T16" s="90">
        <v>0</v>
      </c>
      <c r="U16" s="90">
        <v>11888.128000000001</v>
      </c>
      <c r="V16" s="90">
        <v>240</v>
      </c>
      <c r="W16" s="90">
        <v>5415</v>
      </c>
      <c r="X16" s="90">
        <v>726.69</v>
      </c>
      <c r="Y16" s="90">
        <v>0</v>
      </c>
      <c r="Z16" s="90">
        <v>0</v>
      </c>
      <c r="AA16" s="90">
        <v>18269.817999999999</v>
      </c>
      <c r="AB16" s="90">
        <v>93433.921999999991</v>
      </c>
      <c r="AC16" s="90">
        <v>0</v>
      </c>
      <c r="AD16" s="90">
        <v>93433.921999999991</v>
      </c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U17" s="96"/>
      <c r="V17" s="93"/>
      <c r="W17" s="96"/>
      <c r="X17" s="93"/>
      <c r="Y17" s="93"/>
      <c r="Z17" s="93"/>
      <c r="AA17" s="96"/>
      <c r="AB17" s="96"/>
      <c r="AC17" s="93"/>
      <c r="AD17" s="96"/>
    </row>
    <row r="18" spans="1:42" ht="12" customHeight="1" x14ac:dyDescent="0.25">
      <c r="A18" s="91"/>
      <c r="B18" s="91"/>
      <c r="C18" s="92"/>
      <c r="D18" s="93"/>
      <c r="E18" s="94"/>
      <c r="F18" s="95"/>
      <c r="G18" s="93"/>
      <c r="H18" s="93"/>
      <c r="I18" s="96"/>
      <c r="J18" s="93"/>
      <c r="K18" s="93"/>
      <c r="L18" s="92"/>
      <c r="M18" s="93"/>
      <c r="N18" s="96"/>
      <c r="O18" s="96"/>
      <c r="P18" s="93"/>
      <c r="Q18" s="93"/>
      <c r="R18" s="93"/>
      <c r="S18" s="96"/>
      <c r="T18" s="93"/>
      <c r="Y18" s="93"/>
      <c r="Z18" s="97" t="s">
        <v>55</v>
      </c>
      <c r="AA18" s="96"/>
      <c r="AB18" s="96"/>
      <c r="AC18" s="93"/>
      <c r="AD18" s="96"/>
    </row>
    <row r="19" spans="1:42" x14ac:dyDescent="0.25">
      <c r="A19" s="1"/>
      <c r="B19" s="1"/>
      <c r="C19" s="15" t="s">
        <v>56</v>
      </c>
      <c r="D19" s="15"/>
      <c r="E19" s="15"/>
      <c r="F19" s="98"/>
      <c r="G19" s="1"/>
      <c r="H19" s="1"/>
      <c r="I19" s="1"/>
      <c r="J19" s="1"/>
      <c r="K19" s="1"/>
      <c r="M19" s="1"/>
      <c r="O19" s="32" t="s">
        <v>57</v>
      </c>
      <c r="P19" s="1"/>
      <c r="Q19" s="1"/>
      <c r="R19" s="1"/>
      <c r="S19" s="99"/>
      <c r="T19" s="1"/>
      <c r="U19" s="1"/>
      <c r="V19" s="1"/>
      <c r="X19" s="1"/>
      <c r="Y19" s="1"/>
      <c r="Z19" s="1"/>
      <c r="AA19" s="32" t="s">
        <v>58</v>
      </c>
      <c r="AD19" s="1"/>
    </row>
    <row r="20" spans="1:42" x14ac:dyDescent="0.25">
      <c r="B20" s="1"/>
      <c r="D20" s="6"/>
      <c r="H20" s="67"/>
      <c r="O20" s="6"/>
      <c r="S20" s="100"/>
      <c r="T20" s="100"/>
      <c r="X20" s="101"/>
      <c r="AA20" s="6"/>
    </row>
    <row r="21" spans="1:42" x14ac:dyDescent="0.25">
      <c r="B21" s="1"/>
      <c r="D21" s="6"/>
      <c r="J21" s="67"/>
      <c r="O21" s="6"/>
      <c r="S21" s="102"/>
      <c r="T21" s="100"/>
      <c r="U21" s="103"/>
      <c r="AA21" s="6"/>
      <c r="AB21" s="74"/>
      <c r="AC21" s="74"/>
    </row>
    <row r="22" spans="1:42" x14ac:dyDescent="0.25">
      <c r="B22" s="1"/>
      <c r="D22" s="6"/>
      <c r="O22" s="6"/>
      <c r="S22" s="104"/>
      <c r="T22" s="100"/>
      <c r="U22" s="103"/>
      <c r="AA22" s="6"/>
      <c r="AP22" s="67"/>
    </row>
    <row r="23" spans="1:42" s="112" customFormat="1" ht="12.75" x14ac:dyDescent="0.25">
      <c r="A23" s="105"/>
      <c r="B23" s="105"/>
      <c r="C23" s="105"/>
      <c r="D23" s="106" t="s">
        <v>59</v>
      </c>
      <c r="E23" s="107"/>
      <c r="F23" s="108"/>
      <c r="G23" s="105"/>
      <c r="H23" s="105"/>
      <c r="I23" s="105"/>
      <c r="J23" s="105"/>
      <c r="K23" s="105"/>
      <c r="L23" s="109"/>
      <c r="M23" s="105"/>
      <c r="N23" s="110" t="s">
        <v>60</v>
      </c>
      <c r="O23" s="110"/>
      <c r="P23" s="110"/>
      <c r="Q23" s="105"/>
      <c r="R23" s="105"/>
      <c r="S23" s="111"/>
      <c r="T23" s="105"/>
      <c r="U23" s="105"/>
      <c r="V23" s="105"/>
      <c r="X23" s="105"/>
      <c r="Y23" s="105"/>
      <c r="Z23" s="105"/>
      <c r="AA23" s="106" t="s">
        <v>61</v>
      </c>
      <c r="AB23" s="105"/>
      <c r="AC23" s="105"/>
      <c r="AD23" s="113"/>
      <c r="AF23" s="109"/>
      <c r="AH23" s="109"/>
      <c r="AJ23" s="109"/>
      <c r="AK23" s="109"/>
      <c r="AP23" s="114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"/>
      <c r="K24" s="1"/>
      <c r="L24" s="32"/>
      <c r="M24" s="1"/>
      <c r="N24" s="1"/>
      <c r="O24" s="1"/>
      <c r="P24" s="1"/>
      <c r="Q24" s="1"/>
      <c r="R24" s="1"/>
      <c r="S24" s="115"/>
      <c r="T24" s="1"/>
      <c r="U24" s="1"/>
      <c r="V24" s="1"/>
      <c r="W24" s="1"/>
      <c r="X24" s="1"/>
      <c r="Y24" s="1"/>
      <c r="Z24" s="1"/>
      <c r="AD24" s="1"/>
      <c r="AE24" s="103"/>
      <c r="AN24" s="67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16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P26" s="67"/>
    </row>
    <row r="27" spans="1:42" x14ac:dyDescent="0.25">
      <c r="A27" s="1"/>
      <c r="B27" s="1"/>
      <c r="C27" s="1"/>
      <c r="D27" s="1"/>
      <c r="E27" s="73"/>
      <c r="F27" s="98"/>
      <c r="G27" s="1"/>
      <c r="H27" s="1"/>
      <c r="I27" s="1"/>
      <c r="J27" s="1"/>
      <c r="K27" s="1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D27" s="1"/>
      <c r="AN27" s="67"/>
      <c r="AP27" s="67"/>
    </row>
    <row r="28" spans="1:42" s="1" customFormat="1" x14ac:dyDescent="0.25">
      <c r="E28" s="73"/>
      <c r="F28" s="98"/>
      <c r="L28" s="32"/>
      <c r="AF28" s="6"/>
      <c r="AG28" s="4"/>
      <c r="AH28" s="6"/>
      <c r="AI28" s="4"/>
      <c r="AJ28" s="6"/>
      <c r="AK28" s="6"/>
      <c r="AL28" s="4"/>
      <c r="AM28" s="4"/>
      <c r="AP28" s="67"/>
    </row>
    <row r="29" spans="1:42" x14ac:dyDescent="0.25">
      <c r="AP29" s="67"/>
    </row>
    <row r="30" spans="1:42" x14ac:dyDescent="0.25">
      <c r="W30" s="103"/>
      <c r="AP30" s="67"/>
    </row>
    <row r="31" spans="1:42" x14ac:dyDescent="0.25">
      <c r="W31" s="103"/>
      <c r="AP31" s="67"/>
    </row>
    <row r="32" spans="1:42" x14ac:dyDescent="0.25">
      <c r="A32" s="8"/>
      <c r="B32" s="8"/>
      <c r="O32" s="103"/>
      <c r="AP32" s="67"/>
    </row>
    <row r="33" spans="1:45" x14ac:dyDescent="0.25">
      <c r="A33" s="8"/>
      <c r="B33" s="8"/>
      <c r="S33" s="8"/>
      <c r="T33" s="8"/>
      <c r="U33" s="8"/>
      <c r="V33" s="8"/>
      <c r="W33" s="8"/>
      <c r="X33" s="8"/>
      <c r="AA33" s="8"/>
      <c r="AB33" s="8"/>
      <c r="AC33" s="8"/>
      <c r="AD33" s="8"/>
      <c r="AP33" s="67"/>
    </row>
    <row r="34" spans="1:45" x14ac:dyDescent="0.25">
      <c r="A34" s="8"/>
      <c r="B34" s="8"/>
      <c r="AP34" s="67"/>
    </row>
    <row r="35" spans="1:45" s="8" customFormat="1" ht="15" customHeight="1" x14ac:dyDescent="0.25"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ht="15" customHeigh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7"/>
      <c r="I38" s="118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/>
      <c r="AH38" s="6"/>
      <c r="AI38" s="4"/>
      <c r="AJ38" s="6"/>
      <c r="AK38" s="6"/>
      <c r="AL38" s="4"/>
      <c r="AM38" s="4"/>
      <c r="AP38" s="67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6"/>
      <c r="AG39" s="4" t="s">
        <v>62</v>
      </c>
      <c r="AH39" s="6"/>
      <c r="AI39" s="4"/>
      <c r="AJ39" s="6"/>
      <c r="AK39" s="6"/>
      <c r="AL39" s="4"/>
      <c r="AM39" s="4"/>
      <c r="AN39" s="119"/>
      <c r="AO39" s="4"/>
      <c r="AP39" s="67"/>
      <c r="AQ39" s="4"/>
      <c r="AR39" s="4"/>
      <c r="AS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63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A41" s="6"/>
      <c r="B41" s="4"/>
      <c r="C41" s="6"/>
      <c r="D41" s="4"/>
      <c r="F41" s="11"/>
      <c r="G41" s="4"/>
      <c r="H41" s="4"/>
      <c r="I41" s="5"/>
      <c r="J41" s="4"/>
      <c r="K41" s="4"/>
      <c r="L41" s="6"/>
      <c r="M41" s="4"/>
      <c r="N41" s="4"/>
      <c r="O41" s="4"/>
      <c r="P41" s="4"/>
      <c r="Q41" s="4"/>
      <c r="R41" s="4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64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s="8" customFormat="1" x14ac:dyDescent="0.25">
      <c r="B42" s="4"/>
      <c r="F42" s="117"/>
      <c r="I42" s="118"/>
      <c r="L42" s="121"/>
      <c r="S42" s="7"/>
      <c r="T42" s="7"/>
      <c r="U42" s="4"/>
      <c r="V42" s="4"/>
      <c r="W42" s="4"/>
      <c r="X42" s="4"/>
      <c r="AA42" s="1"/>
      <c r="AB42" s="1"/>
      <c r="AC42" s="1"/>
      <c r="AD42" s="4"/>
      <c r="AE42" s="4"/>
      <c r="AF42" s="120" t="s">
        <v>65</v>
      </c>
      <c r="AG42" s="4"/>
      <c r="AH42" s="6"/>
      <c r="AI42" s="4"/>
      <c r="AJ42" s="6"/>
      <c r="AK42" s="6"/>
      <c r="AL42" s="4"/>
      <c r="AM42" s="4"/>
      <c r="AN42" s="4"/>
      <c r="AO42" s="4"/>
      <c r="AP42" s="67"/>
      <c r="AQ42" s="4"/>
    </row>
    <row r="43" spans="1:45" x14ac:dyDescent="0.25">
      <c r="AP43" s="67"/>
    </row>
    <row r="44" spans="1:45" s="8" customFormat="1" x14ac:dyDescent="0.25">
      <c r="A44" s="6"/>
      <c r="B44" s="4"/>
      <c r="C44" s="6"/>
      <c r="D44" s="4"/>
      <c r="F44" s="11"/>
      <c r="G44" s="4"/>
      <c r="H44" s="4"/>
      <c r="I44" s="5"/>
      <c r="J44" s="4"/>
      <c r="K44" s="4"/>
      <c r="L44" s="6"/>
      <c r="M44" s="4"/>
      <c r="N44" s="4"/>
      <c r="O44" s="4"/>
      <c r="P44" s="4"/>
      <c r="Q44" s="4"/>
      <c r="R44" s="4"/>
      <c r="S44" s="7"/>
      <c r="T44" s="7"/>
      <c r="U44" s="4"/>
      <c r="V44" s="4"/>
      <c r="W44" s="4"/>
      <c r="X44" s="4"/>
      <c r="AA44" s="1"/>
      <c r="AB44" s="1"/>
      <c r="AC44" s="1"/>
      <c r="AD44" s="4"/>
      <c r="AE44" s="4"/>
      <c r="AF44" s="6"/>
      <c r="AG44" s="4"/>
      <c r="AH44" s="6"/>
      <c r="AI44" s="4"/>
      <c r="AJ44" s="6"/>
      <c r="AK44" s="6"/>
      <c r="AL44" s="4"/>
      <c r="AM44" s="4"/>
      <c r="AN44" s="4"/>
      <c r="AO44" s="4"/>
      <c r="AP44" s="67"/>
      <c r="AQ44" s="4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3" spans="2:42" x14ac:dyDescent="0.25">
      <c r="AP53" s="67"/>
    </row>
    <row r="56" spans="2:42" x14ac:dyDescent="0.25">
      <c r="B56" s="103"/>
      <c r="E56" s="122"/>
      <c r="F56" s="122"/>
    </row>
    <row r="61" spans="2:42" x14ac:dyDescent="0.25">
      <c r="V61" s="123"/>
    </row>
    <row r="92" spans="2:43" s="6" customFormat="1" x14ac:dyDescent="0.25">
      <c r="B92" s="4"/>
      <c r="D92" s="4"/>
      <c r="E92" s="8"/>
      <c r="F92" s="11"/>
      <c r="G92" s="4"/>
      <c r="H92" s="4"/>
      <c r="I92" s="5"/>
      <c r="J92" s="4"/>
      <c r="K92" s="4"/>
      <c r="M92" s="4"/>
      <c r="N92" s="4"/>
      <c r="O92" s="4"/>
      <c r="P92" s="4"/>
      <c r="Q92" s="4"/>
      <c r="R92" s="4"/>
      <c r="S92" s="7"/>
      <c r="T92" s="7"/>
      <c r="U92" s="4"/>
      <c r="V92" s="4"/>
      <c r="W92" s="4"/>
      <c r="X92" s="4"/>
      <c r="Y92" s="8"/>
      <c r="Z92" s="8"/>
      <c r="AA92" s="1"/>
      <c r="AB92" s="1"/>
      <c r="AC92" s="1"/>
      <c r="AD92" s="4"/>
      <c r="AE92" s="4"/>
      <c r="AG92" s="4"/>
      <c r="AI92" s="4"/>
      <c r="AL92" s="4"/>
      <c r="AM92" s="4"/>
      <c r="AN92" s="4"/>
      <c r="AO92" s="4"/>
      <c r="AP92" s="4"/>
      <c r="AQ92" s="4"/>
    </row>
    <row r="93" spans="2:43" x14ac:dyDescent="0.25">
      <c r="B93" s="124"/>
    </row>
    <row r="96" spans="2:43" s="6" customFormat="1" x14ac:dyDescent="0.25">
      <c r="B96" s="4"/>
      <c r="D96" s="4"/>
      <c r="E96" s="8"/>
      <c r="F96" s="11"/>
      <c r="G96" s="4"/>
      <c r="H96" s="4"/>
      <c r="I96" s="5"/>
      <c r="J96" s="4"/>
      <c r="K96" s="4"/>
      <c r="M96" s="4"/>
      <c r="N96" s="4"/>
      <c r="O96" s="4"/>
      <c r="P96" s="4"/>
      <c r="Q96" s="4"/>
      <c r="R96" s="4"/>
      <c r="S96" s="7"/>
      <c r="T96" s="7"/>
      <c r="U96" s="4"/>
      <c r="V96" s="4"/>
      <c r="W96" s="4"/>
      <c r="X96" s="4"/>
      <c r="Y96" s="8"/>
      <c r="Z96" s="8"/>
      <c r="AA96" s="1"/>
      <c r="AB96" s="1"/>
      <c r="AC96" s="1"/>
      <c r="AD96" s="4"/>
      <c r="AE96" s="4"/>
      <c r="AG96" s="4"/>
      <c r="AI96" s="4"/>
      <c r="AL96" s="4"/>
      <c r="AM96" s="4"/>
      <c r="AN96" s="4"/>
      <c r="AO96" s="4"/>
      <c r="AP96" s="4"/>
      <c r="AQ96" s="4"/>
    </row>
    <row r="97" spans="1:1" x14ac:dyDescent="0.25">
      <c r="A97" s="51"/>
    </row>
  </sheetData>
  <mergeCells count="50">
    <mergeCell ref="Y6:Y7"/>
    <mergeCell ref="Z6:Z7"/>
    <mergeCell ref="A16:B16"/>
    <mergeCell ref="C19:E19"/>
    <mergeCell ref="N23:P23"/>
    <mergeCell ref="E56:F56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topLeftCell="A4" workbookViewId="0">
      <selection activeCell="U27" sqref="U27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9.85546875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9.85546875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9.85546875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9.85546875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9.85546875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9.85546875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9.85546875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9.85546875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9.85546875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9.85546875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9.85546875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9.85546875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9.85546875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9.85546875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9.85546875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9.85546875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9.85546875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9.85546875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9.85546875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9.85546875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9.85546875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9.85546875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9.85546875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9.85546875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9.85546875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9.85546875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9.85546875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9.85546875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9.85546875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9.85546875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9.85546875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9.85546875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9.85546875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9.85546875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9.85546875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9.85546875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9.85546875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9.85546875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9.85546875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9.85546875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9.85546875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9.85546875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9.85546875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9.85546875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9.85546875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9.85546875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9.85546875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9.85546875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9.85546875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9.85546875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9.85546875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9.85546875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9.85546875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9.85546875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9.85546875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9.85546875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9.85546875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9.85546875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9.85546875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9.85546875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9.85546875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9.85546875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9.85546875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92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 t="s">
        <v>73</v>
      </c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500</v>
      </c>
      <c r="D8" s="143">
        <v>12000</v>
      </c>
      <c r="E8" s="143">
        <v>5250</v>
      </c>
      <c r="F8" s="143">
        <v>1600</v>
      </c>
      <c r="G8" s="143">
        <v>2000</v>
      </c>
      <c r="H8" s="143">
        <v>1000</v>
      </c>
      <c r="I8" s="143">
        <v>5100</v>
      </c>
      <c r="J8" s="143"/>
      <c r="K8" s="143"/>
      <c r="L8" s="143"/>
      <c r="M8" s="143"/>
      <c r="N8" s="143">
        <v>4550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1</v>
      </c>
      <c r="D9" s="146">
        <v>19.5</v>
      </c>
      <c r="E9" s="146">
        <v>10.6</v>
      </c>
      <c r="F9" s="146">
        <v>3</v>
      </c>
      <c r="G9" s="146">
        <v>4</v>
      </c>
      <c r="H9" s="146">
        <v>2</v>
      </c>
      <c r="I9" s="146">
        <v>9.3000000000000007</v>
      </c>
      <c r="J9" s="146"/>
      <c r="K9" s="148"/>
      <c r="L9" s="146"/>
      <c r="M9" s="146"/>
      <c r="N9" s="146">
        <v>9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12639</v>
      </c>
      <c r="D10" s="152">
        <v>6888</v>
      </c>
      <c r="E10" s="152">
        <v>14842</v>
      </c>
      <c r="F10" s="152">
        <v>12522</v>
      </c>
      <c r="G10" s="154">
        <v>14746</v>
      </c>
      <c r="H10" s="154">
        <v>13176</v>
      </c>
      <c r="I10" s="154">
        <v>10965</v>
      </c>
      <c r="J10" s="152"/>
      <c r="K10" s="152"/>
      <c r="L10" s="152"/>
      <c r="M10" s="152"/>
      <c r="N10" s="152">
        <v>15290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7439</v>
      </c>
      <c r="D12" s="141">
        <v>6860</v>
      </c>
      <c r="E12" s="141">
        <v>8875</v>
      </c>
      <c r="F12" s="141">
        <v>7340</v>
      </c>
      <c r="G12" s="160">
        <v>9555</v>
      </c>
      <c r="H12" s="160">
        <v>3190</v>
      </c>
      <c r="I12" s="160">
        <v>14624</v>
      </c>
      <c r="J12" s="143"/>
      <c r="K12" s="141"/>
      <c r="L12" s="141"/>
      <c r="M12" s="141"/>
      <c r="N12" s="141">
        <v>12085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4972</v>
      </c>
      <c r="D13" s="141">
        <v>2830</v>
      </c>
      <c r="E13" s="141">
        <v>5526</v>
      </c>
      <c r="F13" s="141">
        <v>1000</v>
      </c>
      <c r="G13" s="160">
        <v>1208</v>
      </c>
      <c r="H13" s="160">
        <v>9146</v>
      </c>
      <c r="I13" s="160">
        <v>8043</v>
      </c>
      <c r="J13" s="143"/>
      <c r="K13" s="143"/>
      <c r="L13" s="141"/>
      <c r="M13" s="141"/>
      <c r="N13" s="141">
        <v>3636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>
        <v>1500</v>
      </c>
      <c r="D14" s="141">
        <v>1500</v>
      </c>
      <c r="E14" s="141"/>
      <c r="F14" s="141">
        <v>1500</v>
      </c>
      <c r="G14" s="160"/>
      <c r="H14" s="160"/>
      <c r="I14" s="160">
        <v>3600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>
        <v>600</v>
      </c>
      <c r="D17" s="143"/>
      <c r="E17" s="141">
        <v>1800</v>
      </c>
      <c r="F17" s="143"/>
      <c r="G17" s="161"/>
      <c r="H17" s="161"/>
      <c r="I17" s="161">
        <v>1500</v>
      </c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27650</v>
      </c>
      <c r="D18" s="164">
        <f>SUM(D10:D17)+D8</f>
        <v>30078</v>
      </c>
      <c r="E18" s="164">
        <f>SUM(E10:E17)+E8</f>
        <v>36293</v>
      </c>
      <c r="F18" s="164">
        <f>SUM(F10:F17)+F8</f>
        <v>23962</v>
      </c>
      <c r="G18" s="164">
        <f t="shared" ref="G18:N18" si="0">SUM(G10:G17)+G8</f>
        <v>27509</v>
      </c>
      <c r="H18" s="164">
        <f t="shared" si="0"/>
        <v>26512</v>
      </c>
      <c r="I18" s="164">
        <f>SUM(I10:I17)+I8</f>
        <v>43832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35561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70</v>
      </c>
      <c r="D19" s="165">
        <f t="shared" ref="D19:N19" si="1">D9*70</f>
        <v>1365</v>
      </c>
      <c r="E19" s="165">
        <f t="shared" si="1"/>
        <v>742</v>
      </c>
      <c r="F19" s="165">
        <f t="shared" si="1"/>
        <v>210</v>
      </c>
      <c r="G19" s="165">
        <f t="shared" si="1"/>
        <v>280</v>
      </c>
      <c r="H19" s="165">
        <f t="shared" si="1"/>
        <v>140</v>
      </c>
      <c r="I19" s="165">
        <f t="shared" si="1"/>
        <v>651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630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4044.48</v>
      </c>
      <c r="D20" s="165">
        <f t="shared" si="2"/>
        <v>2204.16</v>
      </c>
      <c r="E20" s="165">
        <f t="shared" si="2"/>
        <v>4749.4400000000005</v>
      </c>
      <c r="F20" s="165">
        <f t="shared" si="2"/>
        <v>4007.04</v>
      </c>
      <c r="G20" s="165">
        <f t="shared" si="2"/>
        <v>4718.72</v>
      </c>
      <c r="H20" s="165">
        <f t="shared" si="2"/>
        <v>4216.32</v>
      </c>
      <c r="I20" s="165">
        <f t="shared" si="2"/>
        <v>3508.8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4892.8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743.90000000000009</v>
      </c>
      <c r="D22" s="165">
        <f t="shared" si="4"/>
        <v>686</v>
      </c>
      <c r="E22" s="165">
        <f t="shared" si="4"/>
        <v>887.5</v>
      </c>
      <c r="F22" s="165">
        <f t="shared" si="4"/>
        <v>734</v>
      </c>
      <c r="G22" s="165">
        <f t="shared" si="4"/>
        <v>955.5</v>
      </c>
      <c r="H22" s="165">
        <f t="shared" si="4"/>
        <v>319</v>
      </c>
      <c r="I22" s="165">
        <f t="shared" si="4"/>
        <v>1462.4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1208.5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1591.04</v>
      </c>
      <c r="D23" s="165">
        <f t="shared" si="5"/>
        <v>905.6</v>
      </c>
      <c r="E23" s="165">
        <f t="shared" si="5"/>
        <v>1768.32</v>
      </c>
      <c r="F23" s="165">
        <f t="shared" si="5"/>
        <v>320</v>
      </c>
      <c r="G23" s="165">
        <f t="shared" si="5"/>
        <v>386.56</v>
      </c>
      <c r="H23" s="165">
        <f t="shared" si="5"/>
        <v>2926.7200000000003</v>
      </c>
      <c r="I23" s="165">
        <f t="shared" si="5"/>
        <v>2573.7600000000002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1163.52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240</v>
      </c>
      <c r="D24" s="165">
        <f t="shared" si="6"/>
        <v>240</v>
      </c>
      <c r="E24" s="165">
        <f t="shared" si="6"/>
        <v>0</v>
      </c>
      <c r="F24" s="165">
        <f t="shared" si="6"/>
        <v>240</v>
      </c>
      <c r="G24" s="165">
        <f t="shared" si="6"/>
        <v>0</v>
      </c>
      <c r="H24" s="165">
        <f t="shared" si="6"/>
        <v>0</v>
      </c>
      <c r="I24" s="165">
        <f t="shared" si="6"/>
        <v>576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270</v>
      </c>
      <c r="D27" s="165">
        <f t="shared" si="8"/>
        <v>0</v>
      </c>
      <c r="E27" s="165">
        <f t="shared" si="8"/>
        <v>810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675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6959.4199999999992</v>
      </c>
      <c r="D28" s="168">
        <f t="shared" si="9"/>
        <v>5400.76</v>
      </c>
      <c r="E28" s="168">
        <f t="shared" si="9"/>
        <v>8957.26</v>
      </c>
      <c r="F28" s="168">
        <f t="shared" si="9"/>
        <v>5511.04</v>
      </c>
      <c r="G28" s="168">
        <f t="shared" si="9"/>
        <v>6340.7800000000007</v>
      </c>
      <c r="H28" s="168">
        <f t="shared" si="9"/>
        <v>7602.04</v>
      </c>
      <c r="I28" s="168">
        <f t="shared" si="9"/>
        <v>9446.9600000000009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7894.82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58113.08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7"/>
  <sheetViews>
    <sheetView workbookViewId="0">
      <selection activeCell="H19" sqref="H19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9.7109375" style="4" customWidth="1"/>
    <col min="9" max="9" width="7.5703125" style="5" customWidth="1"/>
    <col min="10" max="10" width="5.28515625" style="4" customWidth="1"/>
    <col min="11" max="11" width="8" style="4" customWidth="1"/>
    <col min="12" max="12" width="9.42578125" style="6" customWidth="1"/>
    <col min="13" max="13" width="7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8.570312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96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981.48</v>
      </c>
      <c r="F8" s="55">
        <v>26</v>
      </c>
      <c r="G8" s="56">
        <v>1100</v>
      </c>
      <c r="H8" s="54">
        <v>8921</v>
      </c>
      <c r="I8" s="54">
        <v>132</v>
      </c>
      <c r="J8" s="57"/>
      <c r="K8" s="54">
        <v>450</v>
      </c>
      <c r="L8" s="6">
        <v>800</v>
      </c>
      <c r="M8" s="54">
        <v>1500</v>
      </c>
      <c r="N8" s="58">
        <v>1141.048</v>
      </c>
      <c r="O8" s="54">
        <v>780</v>
      </c>
      <c r="P8" s="54">
        <v>100</v>
      </c>
      <c r="Q8" s="59"/>
      <c r="R8" s="60">
        <v>100</v>
      </c>
      <c r="S8" s="61">
        <v>17022.919304347826</v>
      </c>
      <c r="T8" s="62"/>
      <c r="U8" s="63">
        <v>1698.3040000000001</v>
      </c>
      <c r="V8" s="53">
        <v>30</v>
      </c>
      <c r="W8" s="54">
        <v>780</v>
      </c>
      <c r="X8" s="54">
        <v>161.85</v>
      </c>
      <c r="Y8" s="64"/>
      <c r="Z8" s="64"/>
      <c r="AA8" s="65">
        <v>2670.154</v>
      </c>
      <c r="AB8" s="65">
        <v>14352.765304347826</v>
      </c>
      <c r="AC8" s="66"/>
      <c r="AD8" s="65">
        <v>14352.765304347826</v>
      </c>
      <c r="AE8" s="67">
        <v>981.48</v>
      </c>
      <c r="AF8" s="51"/>
      <c r="AG8" s="68"/>
      <c r="AH8" s="69"/>
      <c r="AI8" s="70"/>
      <c r="AJ8" s="71"/>
      <c r="AK8" s="72"/>
      <c r="AL8" s="57"/>
      <c r="AM8" s="70"/>
      <c r="AN8" s="73">
        <v>-6018.52</v>
      </c>
      <c r="AO8" s="73">
        <v>-1805.556</v>
      </c>
      <c r="AR8" s="73">
        <v>16980.528000000002</v>
      </c>
      <c r="AS8" s="73">
        <v>42.391304347824189</v>
      </c>
      <c r="AT8" s="74">
        <v>2670.154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800</v>
      </c>
      <c r="E9" s="54">
        <v>10923.400000000001</v>
      </c>
      <c r="F9" s="55">
        <v>27</v>
      </c>
      <c r="G9" s="56">
        <v>2335</v>
      </c>
      <c r="H9" s="54">
        <v>450</v>
      </c>
      <c r="I9" s="54">
        <v>1586</v>
      </c>
      <c r="J9" s="57"/>
      <c r="K9" s="54">
        <v>600</v>
      </c>
      <c r="L9" s="75">
        <v>400</v>
      </c>
      <c r="M9" s="54"/>
      <c r="N9" s="58">
        <v>1141.048</v>
      </c>
      <c r="O9" s="54">
        <v>810</v>
      </c>
      <c r="P9" s="54">
        <v>100</v>
      </c>
      <c r="Q9" s="59">
        <v>1177.0200000000004</v>
      </c>
      <c r="R9" s="54">
        <v>73</v>
      </c>
      <c r="S9" s="61">
        <v>20534.598434782609</v>
      </c>
      <c r="T9" s="62"/>
      <c r="U9" s="63">
        <v>1698.3040000000001</v>
      </c>
      <c r="V9" s="53">
        <v>30</v>
      </c>
      <c r="W9" s="54">
        <v>810</v>
      </c>
      <c r="X9" s="54">
        <v>131.57300000000001</v>
      </c>
      <c r="Y9" s="64"/>
      <c r="Z9" s="64"/>
      <c r="AA9" s="65">
        <v>2669.877</v>
      </c>
      <c r="AB9" s="65">
        <v>17864.721434782608</v>
      </c>
      <c r="AC9" s="66"/>
      <c r="AD9" s="65">
        <v>17864.721434782608</v>
      </c>
      <c r="AE9" s="67">
        <v>10923.400000000001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3923.4000000000015</v>
      </c>
      <c r="AO9" s="73">
        <v>1177.0200000000004</v>
      </c>
      <c r="AP9" s="1"/>
      <c r="AQ9" s="73"/>
      <c r="AR9" s="73">
        <v>20495.468000000001</v>
      </c>
      <c r="AS9" s="73">
        <v>39.130434782608063</v>
      </c>
      <c r="AT9" s="74">
        <v>2669.877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400</v>
      </c>
      <c r="E10" s="54">
        <v>6587.84</v>
      </c>
      <c r="F10" s="55">
        <v>25</v>
      </c>
      <c r="G10" s="56">
        <v>60</v>
      </c>
      <c r="H10" s="54"/>
      <c r="I10" s="54">
        <v>1007</v>
      </c>
      <c r="J10" s="57"/>
      <c r="K10" s="54">
        <v>350</v>
      </c>
      <c r="L10" s="75">
        <v>200</v>
      </c>
      <c r="M10" s="54"/>
      <c r="N10" s="58">
        <v>1141.048</v>
      </c>
      <c r="O10" s="54">
        <v>750</v>
      </c>
      <c r="P10" s="54">
        <v>100</v>
      </c>
      <c r="Q10" s="59"/>
      <c r="R10" s="60">
        <v>130</v>
      </c>
      <c r="S10" s="61">
        <v>10760.670608695651</v>
      </c>
      <c r="T10" s="62"/>
      <c r="U10" s="63">
        <v>1698.3040000000001</v>
      </c>
      <c r="V10" s="53">
        <v>30</v>
      </c>
      <c r="W10" s="54">
        <v>750</v>
      </c>
      <c r="X10" s="54">
        <v>126.398</v>
      </c>
      <c r="Y10" s="64"/>
      <c r="Z10" s="64"/>
      <c r="AA10" s="65">
        <v>2604.7020000000002</v>
      </c>
      <c r="AB10" s="65">
        <v>8155.9686086956508</v>
      </c>
      <c r="AC10" s="66"/>
      <c r="AD10" s="65">
        <v>8155.9686086956508</v>
      </c>
      <c r="AE10" s="67">
        <v>6587.84</v>
      </c>
      <c r="AF10" s="51"/>
      <c r="AG10" s="68"/>
      <c r="AH10" s="69"/>
      <c r="AI10" s="70"/>
      <c r="AJ10" s="71"/>
      <c r="AK10" s="72"/>
      <c r="AL10" s="57"/>
      <c r="AM10" s="70"/>
      <c r="AN10" s="73">
        <v>-412.15999999999985</v>
      </c>
      <c r="AO10" s="73">
        <v>-123.64799999999995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5133.24</v>
      </c>
      <c r="F11" s="55">
        <v>23.5</v>
      </c>
      <c r="G11" s="56">
        <v>935</v>
      </c>
      <c r="H11" s="54">
        <v>3450</v>
      </c>
      <c r="I11" s="54">
        <v>665</v>
      </c>
      <c r="J11" s="57"/>
      <c r="K11" s="54">
        <v>500</v>
      </c>
      <c r="L11" s="75"/>
      <c r="M11" s="54"/>
      <c r="N11" s="58">
        <v>1141.048</v>
      </c>
      <c r="O11" s="54">
        <v>705</v>
      </c>
      <c r="P11" s="54"/>
      <c r="Q11" s="59"/>
      <c r="R11" s="60">
        <v>35</v>
      </c>
      <c r="S11" s="61">
        <v>13279.505391304348</v>
      </c>
      <c r="T11" s="62"/>
      <c r="U11" s="63">
        <v>1698.3040000000001</v>
      </c>
      <c r="V11" s="53">
        <v>30</v>
      </c>
      <c r="W11" s="54">
        <v>705</v>
      </c>
      <c r="X11" s="54"/>
      <c r="Y11" s="64"/>
      <c r="Z11" s="64"/>
      <c r="AA11" s="65">
        <v>2433.3040000000001</v>
      </c>
      <c r="AB11" s="65">
        <v>10846.201391304348</v>
      </c>
      <c r="AC11" s="66"/>
      <c r="AD11" s="65">
        <v>10846.201391304348</v>
      </c>
      <c r="AE11" s="67">
        <v>5133.24</v>
      </c>
      <c r="AF11" s="51"/>
      <c r="AG11" s="68"/>
      <c r="AH11" s="69"/>
      <c r="AI11" s="70"/>
      <c r="AJ11" s="71"/>
      <c r="AK11" s="72"/>
      <c r="AL11" s="57"/>
      <c r="AM11" s="70"/>
      <c r="AN11" s="73">
        <v>-1866.7600000000002</v>
      </c>
      <c r="AO11" s="73">
        <v>-560.02800000000002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6006.42</v>
      </c>
      <c r="F12" s="55">
        <v>26</v>
      </c>
      <c r="G12" s="56">
        <v>3005</v>
      </c>
      <c r="H12" s="54">
        <v>4400</v>
      </c>
      <c r="I12" s="54">
        <v>690</v>
      </c>
      <c r="J12" s="57"/>
      <c r="K12" s="54">
        <v>575</v>
      </c>
      <c r="L12" s="75"/>
      <c r="M12" s="54"/>
      <c r="N12" s="58">
        <v>1141.048</v>
      </c>
      <c r="O12" s="54">
        <v>780</v>
      </c>
      <c r="P12" s="54"/>
      <c r="Q12" s="59"/>
      <c r="R12" s="60">
        <v>95</v>
      </c>
      <c r="S12" s="61">
        <v>17596.815826086957</v>
      </c>
      <c r="T12" s="62"/>
      <c r="U12" s="63">
        <v>1698.3040000000001</v>
      </c>
      <c r="V12" s="53">
        <v>30</v>
      </c>
      <c r="W12" s="54">
        <v>780</v>
      </c>
      <c r="X12" s="54"/>
      <c r="Y12" s="64"/>
      <c r="Z12" s="64"/>
      <c r="AA12" s="65">
        <v>2508.3040000000001</v>
      </c>
      <c r="AB12" s="65">
        <v>15088.511826086957</v>
      </c>
      <c r="AC12" s="66"/>
      <c r="AD12" s="65">
        <v>15088.511826086957</v>
      </c>
      <c r="AE12" s="67">
        <v>6006.42</v>
      </c>
      <c r="AF12" s="51"/>
      <c r="AG12" s="68"/>
      <c r="AH12" s="69"/>
      <c r="AI12" s="70"/>
      <c r="AJ12" s="71"/>
      <c r="AK12" s="72"/>
      <c r="AL12" s="57"/>
      <c r="AM12" s="70"/>
      <c r="AN12" s="73">
        <v>-993.57999999999993</v>
      </c>
      <c r="AO12" s="73">
        <v>-298.07399999999996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500</v>
      </c>
      <c r="E13" s="54">
        <v>5780.44</v>
      </c>
      <c r="F13" s="55">
        <v>24.5</v>
      </c>
      <c r="G13" s="56">
        <v>840</v>
      </c>
      <c r="H13" s="54">
        <v>2068</v>
      </c>
      <c r="I13" s="54">
        <v>856</v>
      </c>
      <c r="J13" s="57"/>
      <c r="K13" s="54">
        <v>650</v>
      </c>
      <c r="L13" s="75">
        <v>200</v>
      </c>
      <c r="M13" s="54"/>
      <c r="N13" s="58">
        <v>1141.048</v>
      </c>
      <c r="O13" s="54">
        <v>735</v>
      </c>
      <c r="P13" s="54">
        <v>100</v>
      </c>
      <c r="Q13" s="59"/>
      <c r="R13" s="60"/>
      <c r="S13" s="61">
        <v>12903.096695652173</v>
      </c>
      <c r="T13" s="62"/>
      <c r="U13" s="63">
        <v>1698.3040000000001</v>
      </c>
      <c r="V13" s="53">
        <v>30</v>
      </c>
      <c r="W13" s="54">
        <v>735</v>
      </c>
      <c r="X13" s="54">
        <v>130.631</v>
      </c>
      <c r="Y13" s="64"/>
      <c r="Z13" s="64"/>
      <c r="AA13" s="65">
        <v>2593.9349999999999</v>
      </c>
      <c r="AB13" s="65">
        <v>10309.161695652174</v>
      </c>
      <c r="AC13" s="66"/>
      <c r="AD13" s="65">
        <v>10309.161695652174</v>
      </c>
      <c r="AE13" s="67">
        <v>5780.44</v>
      </c>
      <c r="AF13" s="51"/>
      <c r="AG13" s="68"/>
      <c r="AH13" s="69"/>
      <c r="AI13" s="70"/>
      <c r="AJ13" s="71"/>
      <c r="AK13" s="72"/>
      <c r="AL13" s="57"/>
      <c r="AM13" s="70"/>
      <c r="AN13" s="73">
        <v>-1219.5600000000004</v>
      </c>
      <c r="AO13" s="73">
        <v>-365.86800000000011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5571.7</v>
      </c>
      <c r="F14" s="55">
        <v>25.5</v>
      </c>
      <c r="G14" s="56">
        <v>1350</v>
      </c>
      <c r="H14" s="54">
        <v>2275</v>
      </c>
      <c r="I14" s="54">
        <v>638</v>
      </c>
      <c r="J14" s="57"/>
      <c r="K14" s="54">
        <v>550</v>
      </c>
      <c r="L14" s="75"/>
      <c r="M14" s="54"/>
      <c r="N14" s="58">
        <v>1141.048</v>
      </c>
      <c r="O14" s="54">
        <v>765</v>
      </c>
      <c r="P14" s="54">
        <v>100</v>
      </c>
      <c r="Q14" s="59"/>
      <c r="R14" s="60">
        <v>30</v>
      </c>
      <c r="S14" s="61">
        <v>12642.487130434782</v>
      </c>
      <c r="T14" s="62"/>
      <c r="U14" s="63">
        <v>1698.3040000000001</v>
      </c>
      <c r="V14" s="53">
        <v>30</v>
      </c>
      <c r="W14" s="54">
        <v>765</v>
      </c>
      <c r="X14" s="54">
        <v>120</v>
      </c>
      <c r="Y14" s="64"/>
      <c r="Z14" s="64"/>
      <c r="AA14" s="65">
        <v>2613.3040000000001</v>
      </c>
      <c r="AB14" s="65">
        <v>10029.183130434782</v>
      </c>
      <c r="AC14" s="66"/>
      <c r="AD14" s="65">
        <v>10029.183130434782</v>
      </c>
      <c r="AE14" s="67">
        <v>5571.7</v>
      </c>
      <c r="AF14" s="51"/>
      <c r="AG14" s="68"/>
      <c r="AH14" s="69"/>
      <c r="AI14" s="70"/>
      <c r="AJ14" s="71"/>
      <c r="AK14" s="72"/>
      <c r="AL14" s="57"/>
      <c r="AM14" s="70"/>
      <c r="AN14" s="73">
        <v>-1428.3000000000002</v>
      </c>
      <c r="AO14" s="73">
        <v>-428.49000000000007</v>
      </c>
      <c r="AR14" s="73"/>
      <c r="AS14" s="73"/>
      <c r="AT14" s="74"/>
      <c r="AU14" s="73"/>
    </row>
    <row r="15" spans="1:47" s="1" customFormat="1" ht="33" customHeight="1" x14ac:dyDescent="0.25">
      <c r="A15" s="51">
        <v>8</v>
      </c>
      <c r="B15" s="76" t="s">
        <v>51</v>
      </c>
      <c r="C15" s="52" t="s">
        <v>42</v>
      </c>
      <c r="D15" s="53">
        <v>100</v>
      </c>
      <c r="E15" s="54">
        <v>4512.3</v>
      </c>
      <c r="F15" s="55">
        <v>23</v>
      </c>
      <c r="G15" s="56">
        <v>625</v>
      </c>
      <c r="H15" s="54">
        <v>1800</v>
      </c>
      <c r="I15" s="54">
        <v>843</v>
      </c>
      <c r="J15" s="57"/>
      <c r="K15" s="54">
        <v>200</v>
      </c>
      <c r="L15" s="75"/>
      <c r="M15" s="54"/>
      <c r="N15" s="58"/>
      <c r="O15" s="54"/>
      <c r="P15" s="54"/>
      <c r="Q15" s="59"/>
      <c r="R15" s="60"/>
      <c r="S15" s="61">
        <v>8080.3</v>
      </c>
      <c r="T15" s="62"/>
      <c r="U15" s="63"/>
      <c r="V15" s="53">
        <v>30</v>
      </c>
      <c r="W15" s="54">
        <v>0</v>
      </c>
      <c r="X15" s="54"/>
      <c r="Y15" s="64"/>
      <c r="Z15" s="64"/>
      <c r="AA15" s="65">
        <v>30</v>
      </c>
      <c r="AB15" s="65">
        <v>8050.3</v>
      </c>
      <c r="AC15" s="66"/>
      <c r="AD15" s="65">
        <v>8050.3</v>
      </c>
      <c r="AE15" s="67">
        <v>4512.3</v>
      </c>
      <c r="AF15" s="77"/>
      <c r="AG15" s="78"/>
      <c r="AH15" s="79"/>
      <c r="AI15" s="80"/>
      <c r="AJ15" s="81"/>
      <c r="AK15" s="82"/>
      <c r="AL15" s="83"/>
      <c r="AM15" s="80"/>
      <c r="AN15" s="73">
        <v>-2487.6999999999998</v>
      </c>
      <c r="AO15" s="73">
        <v>-746.31</v>
      </c>
      <c r="AR15" s="73"/>
      <c r="AS15" s="101"/>
      <c r="AT15" s="74"/>
      <c r="AU15" s="73"/>
    </row>
    <row r="16" spans="1:47" ht="33" customHeight="1" x14ac:dyDescent="0.25">
      <c r="A16" s="26" t="s">
        <v>54</v>
      </c>
      <c r="B16" s="31"/>
      <c r="C16" s="87"/>
      <c r="D16" s="62"/>
      <c r="E16" s="88">
        <v>45496.82</v>
      </c>
      <c r="F16" s="89"/>
      <c r="G16" s="90">
        <v>10250</v>
      </c>
      <c r="H16" s="90">
        <v>23364</v>
      </c>
      <c r="I16" s="90">
        <v>6417</v>
      </c>
      <c r="J16" s="90">
        <v>0</v>
      </c>
      <c r="K16" s="90">
        <v>3875</v>
      </c>
      <c r="L16" s="90">
        <v>1600</v>
      </c>
      <c r="M16" s="90">
        <v>1500</v>
      </c>
      <c r="N16" s="90">
        <v>7987.3359999999993</v>
      </c>
      <c r="O16" s="90">
        <v>5325</v>
      </c>
      <c r="P16" s="90">
        <v>500</v>
      </c>
      <c r="Q16" s="90">
        <v>1177.0200000000004</v>
      </c>
      <c r="R16" s="90">
        <v>463</v>
      </c>
      <c r="S16" s="90">
        <v>112820.39339130434</v>
      </c>
      <c r="T16" s="90">
        <v>0</v>
      </c>
      <c r="U16" s="90">
        <v>11888.128000000001</v>
      </c>
      <c r="V16" s="90">
        <v>240</v>
      </c>
      <c r="W16" s="90">
        <v>5325</v>
      </c>
      <c r="X16" s="90">
        <v>670.452</v>
      </c>
      <c r="Y16" s="90">
        <v>0</v>
      </c>
      <c r="Z16" s="90">
        <v>0</v>
      </c>
      <c r="AA16" s="90">
        <v>18123.580000000002</v>
      </c>
      <c r="AB16" s="90">
        <v>94696.813391304357</v>
      </c>
      <c r="AC16" s="90">
        <v>0</v>
      </c>
      <c r="AD16" s="90">
        <v>94696.813391304357</v>
      </c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U17" s="96"/>
      <c r="V17" s="93"/>
      <c r="W17" s="96"/>
      <c r="X17" s="93"/>
      <c r="Y17" s="93"/>
      <c r="Z17" s="93"/>
      <c r="AA17" s="96"/>
      <c r="AB17" s="96"/>
      <c r="AC17" s="93"/>
      <c r="AD17" s="96"/>
    </row>
    <row r="18" spans="1:42" ht="12" customHeight="1" x14ac:dyDescent="0.25">
      <c r="A18" s="91"/>
      <c r="B18" s="91"/>
      <c r="C18" s="92"/>
      <c r="D18" s="93"/>
      <c r="E18" s="94"/>
      <c r="F18" s="95"/>
      <c r="G18" s="93"/>
      <c r="H18" s="93"/>
      <c r="I18" s="96"/>
      <c r="J18" s="93"/>
      <c r="K18" s="93"/>
      <c r="L18" s="92"/>
      <c r="M18" s="93"/>
      <c r="N18" s="96"/>
      <c r="O18" s="96"/>
      <c r="P18" s="93"/>
      <c r="Q18" s="93"/>
      <c r="R18" s="93"/>
      <c r="S18" s="96"/>
      <c r="T18" s="93"/>
      <c r="Y18" s="93"/>
      <c r="Z18" s="97" t="s">
        <v>55</v>
      </c>
      <c r="AA18" s="96"/>
      <c r="AB18" s="96"/>
      <c r="AC18" s="93"/>
      <c r="AD18" s="96"/>
    </row>
    <row r="19" spans="1:42" x14ac:dyDescent="0.25">
      <c r="A19" s="1"/>
      <c r="B19" s="1"/>
      <c r="C19" s="15" t="s">
        <v>56</v>
      </c>
      <c r="D19" s="15"/>
      <c r="E19" s="15"/>
      <c r="F19" s="98"/>
      <c r="G19" s="1"/>
      <c r="H19" s="1"/>
      <c r="I19" s="1"/>
      <c r="J19" s="1"/>
      <c r="K19" s="1"/>
      <c r="M19" s="1"/>
      <c r="O19" s="32" t="s">
        <v>57</v>
      </c>
      <c r="P19" s="1"/>
      <c r="Q19" s="1"/>
      <c r="R19" s="1"/>
      <c r="S19" s="99"/>
      <c r="T19" s="1"/>
      <c r="U19" s="1"/>
      <c r="V19" s="1"/>
      <c r="X19" s="1"/>
      <c r="Y19" s="1"/>
      <c r="Z19" s="1"/>
      <c r="AA19" s="32" t="s">
        <v>58</v>
      </c>
      <c r="AD19" s="1"/>
    </row>
    <row r="20" spans="1:42" x14ac:dyDescent="0.25">
      <c r="B20" s="1"/>
      <c r="D20" s="6"/>
      <c r="H20" s="67"/>
      <c r="O20" s="6"/>
      <c r="S20" s="100"/>
      <c r="T20" s="100"/>
      <c r="X20" s="101"/>
      <c r="AA20" s="6"/>
    </row>
    <row r="21" spans="1:42" x14ac:dyDescent="0.25">
      <c r="B21" s="1"/>
      <c r="D21" s="6"/>
      <c r="J21" s="67"/>
      <c r="O21" s="6"/>
      <c r="S21" s="102"/>
      <c r="T21" s="100"/>
      <c r="U21" s="103"/>
      <c r="AA21" s="6"/>
      <c r="AB21" s="74"/>
      <c r="AC21" s="74"/>
    </row>
    <row r="22" spans="1:42" x14ac:dyDescent="0.25">
      <c r="B22" s="1"/>
      <c r="D22" s="6"/>
      <c r="O22" s="6"/>
      <c r="S22" s="104"/>
      <c r="T22" s="100"/>
      <c r="U22" s="103"/>
      <c r="AA22" s="6"/>
      <c r="AP22" s="67"/>
    </row>
    <row r="23" spans="1:42" s="112" customFormat="1" ht="12.75" x14ac:dyDescent="0.25">
      <c r="A23" s="105"/>
      <c r="B23" s="105"/>
      <c r="C23" s="105"/>
      <c r="D23" s="106" t="s">
        <v>59</v>
      </c>
      <c r="E23" s="107"/>
      <c r="F23" s="108"/>
      <c r="G23" s="105"/>
      <c r="H23" s="105"/>
      <c r="I23" s="105"/>
      <c r="J23" s="105"/>
      <c r="K23" s="105"/>
      <c r="L23" s="109"/>
      <c r="M23" s="105"/>
      <c r="N23" s="110" t="s">
        <v>60</v>
      </c>
      <c r="O23" s="110"/>
      <c r="P23" s="110"/>
      <c r="Q23" s="105"/>
      <c r="R23" s="105"/>
      <c r="S23" s="111"/>
      <c r="T23" s="105"/>
      <c r="U23" s="105"/>
      <c r="V23" s="105"/>
      <c r="X23" s="105"/>
      <c r="Y23" s="105"/>
      <c r="Z23" s="105"/>
      <c r="AA23" s="106" t="s">
        <v>61</v>
      </c>
      <c r="AB23" s="105"/>
      <c r="AC23" s="105"/>
      <c r="AD23" s="113"/>
      <c r="AF23" s="109"/>
      <c r="AH23" s="109"/>
      <c r="AJ23" s="109"/>
      <c r="AK23" s="109"/>
      <c r="AP23" s="114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"/>
      <c r="K24" s="1"/>
      <c r="L24" s="32"/>
      <c r="M24" s="1"/>
      <c r="N24" s="1"/>
      <c r="O24" s="1"/>
      <c r="P24" s="1"/>
      <c r="Q24" s="1"/>
      <c r="R24" s="1"/>
      <c r="S24" s="115"/>
      <c r="T24" s="1"/>
      <c r="U24" s="1"/>
      <c r="V24" s="1"/>
      <c r="W24" s="1"/>
      <c r="X24" s="1"/>
      <c r="Y24" s="1"/>
      <c r="Z24" s="1"/>
      <c r="AD24" s="1"/>
      <c r="AE24" s="103"/>
      <c r="AN24" s="67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16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P26" s="67"/>
    </row>
    <row r="27" spans="1:42" x14ac:dyDescent="0.25">
      <c r="A27" s="1"/>
      <c r="B27" s="1"/>
      <c r="C27" s="1"/>
      <c r="D27" s="1"/>
      <c r="E27" s="73"/>
      <c r="F27" s="98"/>
      <c r="G27" s="1"/>
      <c r="H27" s="1"/>
      <c r="I27" s="1"/>
      <c r="J27" s="1"/>
      <c r="K27" s="1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D27" s="1"/>
      <c r="AN27" s="67"/>
      <c r="AP27" s="67"/>
    </row>
    <row r="28" spans="1:42" s="1" customFormat="1" x14ac:dyDescent="0.25">
      <c r="E28" s="73"/>
      <c r="F28" s="98"/>
      <c r="L28" s="32"/>
      <c r="AF28" s="6"/>
      <c r="AG28" s="4"/>
      <c r="AH28" s="6"/>
      <c r="AI28" s="4"/>
      <c r="AJ28" s="6"/>
      <c r="AK28" s="6"/>
      <c r="AL28" s="4"/>
      <c r="AM28" s="4"/>
      <c r="AP28" s="67"/>
    </row>
    <row r="29" spans="1:42" x14ac:dyDescent="0.25">
      <c r="AP29" s="67"/>
    </row>
    <row r="30" spans="1:42" x14ac:dyDescent="0.25">
      <c r="W30" s="103"/>
      <c r="AP30" s="67"/>
    </row>
    <row r="31" spans="1:42" x14ac:dyDescent="0.25">
      <c r="W31" s="103"/>
      <c r="AP31" s="67"/>
    </row>
    <row r="32" spans="1:42" x14ac:dyDescent="0.25">
      <c r="A32" s="8"/>
      <c r="B32" s="8"/>
      <c r="O32" s="103"/>
      <c r="AP32" s="67"/>
    </row>
    <row r="33" spans="1:45" x14ac:dyDescent="0.25">
      <c r="A33" s="8"/>
      <c r="B33" s="8"/>
      <c r="S33" s="8"/>
      <c r="T33" s="8"/>
      <c r="U33" s="8"/>
      <c r="V33" s="8"/>
      <c r="W33" s="8"/>
      <c r="X33" s="8"/>
      <c r="AA33" s="8"/>
      <c r="AB33" s="8"/>
      <c r="AC33" s="8"/>
      <c r="AD33" s="8"/>
      <c r="AP33" s="67"/>
    </row>
    <row r="34" spans="1:45" x14ac:dyDescent="0.25">
      <c r="A34" s="8"/>
      <c r="B34" s="8"/>
      <c r="AP34" s="67"/>
    </row>
    <row r="35" spans="1:45" s="8" customFormat="1" ht="15" customHeight="1" x14ac:dyDescent="0.25"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ht="15" customHeigh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7"/>
      <c r="I38" s="118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/>
      <c r="AH38" s="6"/>
      <c r="AI38" s="4"/>
      <c r="AJ38" s="6"/>
      <c r="AK38" s="6"/>
      <c r="AL38" s="4"/>
      <c r="AM38" s="4"/>
      <c r="AP38" s="67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6"/>
      <c r="AG39" s="4" t="s">
        <v>62</v>
      </c>
      <c r="AH39" s="6"/>
      <c r="AI39" s="4"/>
      <c r="AJ39" s="6"/>
      <c r="AK39" s="6"/>
      <c r="AL39" s="4"/>
      <c r="AM39" s="4"/>
      <c r="AN39" s="119"/>
      <c r="AO39" s="4"/>
      <c r="AP39" s="67"/>
      <c r="AQ39" s="4"/>
      <c r="AR39" s="4"/>
      <c r="AS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63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A41" s="6"/>
      <c r="B41" s="4"/>
      <c r="C41" s="6"/>
      <c r="D41" s="4"/>
      <c r="F41" s="11"/>
      <c r="G41" s="4"/>
      <c r="H41" s="4"/>
      <c r="I41" s="5"/>
      <c r="J41" s="4"/>
      <c r="K41" s="4"/>
      <c r="L41" s="6"/>
      <c r="M41" s="4"/>
      <c r="N41" s="4"/>
      <c r="O41" s="4"/>
      <c r="P41" s="4"/>
      <c r="Q41" s="4"/>
      <c r="R41" s="4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64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s="8" customFormat="1" x14ac:dyDescent="0.25">
      <c r="B42" s="4"/>
      <c r="F42" s="117"/>
      <c r="I42" s="118"/>
      <c r="L42" s="121"/>
      <c r="S42" s="7"/>
      <c r="T42" s="7"/>
      <c r="U42" s="4"/>
      <c r="V42" s="4"/>
      <c r="W42" s="4"/>
      <c r="X42" s="4"/>
      <c r="AA42" s="1"/>
      <c r="AB42" s="1"/>
      <c r="AC42" s="1"/>
      <c r="AD42" s="4"/>
      <c r="AE42" s="4"/>
      <c r="AF42" s="120" t="s">
        <v>65</v>
      </c>
      <c r="AG42" s="4"/>
      <c r="AH42" s="6"/>
      <c r="AI42" s="4"/>
      <c r="AJ42" s="6"/>
      <c r="AK42" s="6"/>
      <c r="AL42" s="4"/>
      <c r="AM42" s="4"/>
      <c r="AN42" s="4"/>
      <c r="AO42" s="4"/>
      <c r="AP42" s="67"/>
      <c r="AQ42" s="4"/>
    </row>
    <row r="43" spans="1:45" x14ac:dyDescent="0.25">
      <c r="AP43" s="67"/>
    </row>
    <row r="44" spans="1:45" s="8" customFormat="1" x14ac:dyDescent="0.25">
      <c r="A44" s="6"/>
      <c r="B44" s="4"/>
      <c r="C44" s="6"/>
      <c r="D44" s="4"/>
      <c r="F44" s="11"/>
      <c r="G44" s="4"/>
      <c r="H44" s="4"/>
      <c r="I44" s="5"/>
      <c r="J44" s="4"/>
      <c r="K44" s="4"/>
      <c r="L44" s="6"/>
      <c r="M44" s="4"/>
      <c r="N44" s="4"/>
      <c r="O44" s="4"/>
      <c r="P44" s="4"/>
      <c r="Q44" s="4"/>
      <c r="R44" s="4"/>
      <c r="S44" s="7"/>
      <c r="T44" s="7"/>
      <c r="U44" s="4"/>
      <c r="V44" s="4"/>
      <c r="W44" s="4"/>
      <c r="X44" s="4"/>
      <c r="AA44" s="1"/>
      <c r="AB44" s="1"/>
      <c r="AC44" s="1"/>
      <c r="AD44" s="4"/>
      <c r="AE44" s="4"/>
      <c r="AF44" s="6"/>
      <c r="AG44" s="4"/>
      <c r="AH44" s="6"/>
      <c r="AI44" s="4"/>
      <c r="AJ44" s="6"/>
      <c r="AK44" s="6"/>
      <c r="AL44" s="4"/>
      <c r="AM44" s="4"/>
      <c r="AN44" s="4"/>
      <c r="AO44" s="4"/>
      <c r="AP44" s="67"/>
      <c r="AQ44" s="4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3" spans="2:42" x14ac:dyDescent="0.25">
      <c r="AP53" s="67"/>
    </row>
    <row r="56" spans="2:42" x14ac:dyDescent="0.25">
      <c r="B56" s="103"/>
      <c r="E56" s="122"/>
      <c r="F56" s="122"/>
    </row>
    <row r="61" spans="2:42" x14ac:dyDescent="0.25">
      <c r="V61" s="123"/>
    </row>
    <row r="92" spans="2:43" s="6" customFormat="1" x14ac:dyDescent="0.25">
      <c r="B92" s="4"/>
      <c r="D92" s="4"/>
      <c r="E92" s="8"/>
      <c r="F92" s="11"/>
      <c r="G92" s="4"/>
      <c r="H92" s="4"/>
      <c r="I92" s="5"/>
      <c r="J92" s="4"/>
      <c r="K92" s="4"/>
      <c r="M92" s="4"/>
      <c r="N92" s="4"/>
      <c r="O92" s="4"/>
      <c r="P92" s="4"/>
      <c r="Q92" s="4"/>
      <c r="R92" s="4"/>
      <c r="S92" s="7"/>
      <c r="T92" s="7"/>
      <c r="U92" s="4"/>
      <c r="V92" s="4"/>
      <c r="W92" s="4"/>
      <c r="X92" s="4"/>
      <c r="Y92" s="8"/>
      <c r="Z92" s="8"/>
      <c r="AA92" s="1"/>
      <c r="AB92" s="1"/>
      <c r="AC92" s="1"/>
      <c r="AD92" s="4"/>
      <c r="AE92" s="4"/>
      <c r="AG92" s="4"/>
      <c r="AI92" s="4"/>
      <c r="AL92" s="4"/>
      <c r="AM92" s="4"/>
      <c r="AN92" s="4"/>
      <c r="AO92" s="4"/>
      <c r="AP92" s="4"/>
      <c r="AQ92" s="4"/>
    </row>
    <row r="93" spans="2:43" x14ac:dyDescent="0.25">
      <c r="B93" s="124"/>
    </row>
    <row r="96" spans="2:43" s="6" customFormat="1" x14ac:dyDescent="0.25">
      <c r="B96" s="4"/>
      <c r="D96" s="4"/>
      <c r="E96" s="8"/>
      <c r="F96" s="11"/>
      <c r="G96" s="4"/>
      <c r="H96" s="4"/>
      <c r="I96" s="5"/>
      <c r="J96" s="4"/>
      <c r="K96" s="4"/>
      <c r="M96" s="4"/>
      <c r="N96" s="4"/>
      <c r="O96" s="4"/>
      <c r="P96" s="4"/>
      <c r="Q96" s="4"/>
      <c r="R96" s="4"/>
      <c r="S96" s="7"/>
      <c r="T96" s="7"/>
      <c r="U96" s="4"/>
      <c r="V96" s="4"/>
      <c r="W96" s="4"/>
      <c r="X96" s="4"/>
      <c r="Y96" s="8"/>
      <c r="Z96" s="8"/>
      <c r="AA96" s="1"/>
      <c r="AB96" s="1"/>
      <c r="AC96" s="1"/>
      <c r="AD96" s="4"/>
      <c r="AE96" s="4"/>
      <c r="AG96" s="4"/>
      <c r="AI96" s="4"/>
      <c r="AL96" s="4"/>
      <c r="AM96" s="4"/>
      <c r="AN96" s="4"/>
      <c r="AO96" s="4"/>
      <c r="AP96" s="4"/>
      <c r="AQ96" s="4"/>
    </row>
    <row r="97" spans="1:1" x14ac:dyDescent="0.25">
      <c r="A97" s="51"/>
    </row>
  </sheetData>
  <mergeCells count="50">
    <mergeCell ref="Y6:Y7"/>
    <mergeCell ref="Z6:Z7"/>
    <mergeCell ref="A16:B16"/>
    <mergeCell ref="C19:E19"/>
    <mergeCell ref="N23:P23"/>
    <mergeCell ref="E56:F56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topLeftCell="A4" workbookViewId="0">
      <selection activeCell="S18" sqref="S18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9.85546875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9.85546875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9.85546875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9.85546875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9.85546875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9.85546875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9.85546875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9.85546875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9.85546875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9.85546875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9.85546875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9.85546875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9.85546875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9.85546875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9.85546875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9.85546875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9.85546875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9.85546875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9.85546875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9.85546875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9.85546875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9.85546875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9.85546875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9.85546875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9.85546875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9.85546875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9.85546875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9.85546875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9.85546875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9.85546875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9.85546875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9.85546875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9.85546875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9.85546875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9.85546875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9.85546875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9.85546875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9.85546875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9.85546875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9.85546875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9.85546875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9.85546875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9.85546875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9.85546875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9.85546875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9.85546875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9.85546875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9.85546875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9.85546875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9.85546875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9.85546875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9.85546875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9.85546875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9.85546875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9.85546875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9.85546875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9.85546875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9.85546875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9.85546875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9.85546875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9.85546875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9.85546875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9.85546875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97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 t="s">
        <v>73</v>
      </c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3500</v>
      </c>
      <c r="D8" s="143">
        <v>1700</v>
      </c>
      <c r="E8" s="143">
        <v>10300</v>
      </c>
      <c r="F8" s="143">
        <v>2000</v>
      </c>
      <c r="G8" s="143">
        <v>1000</v>
      </c>
      <c r="H8" s="143">
        <v>1500</v>
      </c>
      <c r="I8" s="143">
        <v>6150</v>
      </c>
      <c r="J8" s="143"/>
      <c r="K8" s="143"/>
      <c r="L8" s="143"/>
      <c r="M8" s="143"/>
      <c r="N8" s="143">
        <v>3000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7</v>
      </c>
      <c r="D9" s="146">
        <v>2.2999999999999998</v>
      </c>
      <c r="E9" s="146">
        <v>19.3</v>
      </c>
      <c r="F9" s="146">
        <v>4</v>
      </c>
      <c r="G9" s="146">
        <v>2</v>
      </c>
      <c r="H9" s="146">
        <v>3</v>
      </c>
      <c r="I9" s="146">
        <v>12.3</v>
      </c>
      <c r="J9" s="146"/>
      <c r="K9" s="148"/>
      <c r="L9" s="146"/>
      <c r="M9" s="146"/>
      <c r="N9" s="146">
        <v>6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8677</v>
      </c>
      <c r="D10" s="152">
        <v>1094</v>
      </c>
      <c r="E10" s="152">
        <v>16805</v>
      </c>
      <c r="F10" s="152">
        <v>12865</v>
      </c>
      <c r="G10" s="154">
        <v>9730</v>
      </c>
      <c r="H10" s="154">
        <v>14419</v>
      </c>
      <c r="I10" s="154">
        <v>6641</v>
      </c>
      <c r="J10" s="152"/>
      <c r="K10" s="152"/>
      <c r="L10" s="152"/>
      <c r="M10" s="152"/>
      <c r="N10" s="152">
        <v>7997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13650</v>
      </c>
      <c r="D12" s="141"/>
      <c r="E12" s="141">
        <v>11260</v>
      </c>
      <c r="F12" s="141">
        <v>9957</v>
      </c>
      <c r="G12" s="160">
        <v>10955</v>
      </c>
      <c r="H12" s="160">
        <v>5180</v>
      </c>
      <c r="I12" s="160">
        <v>11707</v>
      </c>
      <c r="J12" s="143"/>
      <c r="K12" s="141"/>
      <c r="L12" s="141"/>
      <c r="M12" s="141"/>
      <c r="N12" s="141">
        <v>13190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3590</v>
      </c>
      <c r="D13" s="141">
        <v>1470</v>
      </c>
      <c r="E13" s="141">
        <v>9590</v>
      </c>
      <c r="F13" s="141">
        <v>560</v>
      </c>
      <c r="G13" s="160">
        <v>510</v>
      </c>
      <c r="H13" s="160">
        <v>3893</v>
      </c>
      <c r="I13" s="160">
        <v>5780</v>
      </c>
      <c r="J13" s="143"/>
      <c r="K13" s="143"/>
      <c r="L13" s="141"/>
      <c r="M13" s="141"/>
      <c r="N13" s="141">
        <v>2610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/>
      <c r="D14" s="141"/>
      <c r="E14" s="141"/>
      <c r="F14" s="141"/>
      <c r="G14" s="160"/>
      <c r="H14" s="160"/>
      <c r="I14" s="160"/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29417</v>
      </c>
      <c r="D18" s="164">
        <f>SUM(D10:D17)+D8</f>
        <v>4264</v>
      </c>
      <c r="E18" s="164">
        <f>SUM(E10:E17)+E8</f>
        <v>47955</v>
      </c>
      <c r="F18" s="164">
        <f>SUM(F10:F17)+F8</f>
        <v>25382</v>
      </c>
      <c r="G18" s="164">
        <f t="shared" ref="G18:N18" si="0">SUM(G10:G17)+G8</f>
        <v>22195</v>
      </c>
      <c r="H18" s="164">
        <f t="shared" si="0"/>
        <v>24992</v>
      </c>
      <c r="I18" s="164">
        <f>SUM(I10:I17)+I8</f>
        <v>30278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26797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490</v>
      </c>
      <c r="D19" s="165">
        <f t="shared" ref="D19:N19" si="1">D9*70</f>
        <v>161</v>
      </c>
      <c r="E19" s="165">
        <f t="shared" si="1"/>
        <v>1351</v>
      </c>
      <c r="F19" s="165">
        <f t="shared" si="1"/>
        <v>280</v>
      </c>
      <c r="G19" s="165">
        <f t="shared" si="1"/>
        <v>140</v>
      </c>
      <c r="H19" s="165">
        <f t="shared" si="1"/>
        <v>210</v>
      </c>
      <c r="I19" s="165">
        <f t="shared" si="1"/>
        <v>861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420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2776.64</v>
      </c>
      <c r="D20" s="165">
        <f t="shared" si="2"/>
        <v>350.08</v>
      </c>
      <c r="E20" s="165">
        <f t="shared" si="2"/>
        <v>5377.6</v>
      </c>
      <c r="F20" s="165">
        <f t="shared" si="2"/>
        <v>4116.8</v>
      </c>
      <c r="G20" s="165">
        <f t="shared" si="2"/>
        <v>3113.6</v>
      </c>
      <c r="H20" s="165">
        <f t="shared" si="2"/>
        <v>4614.08</v>
      </c>
      <c r="I20" s="165">
        <f t="shared" si="2"/>
        <v>2125.12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2559.04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1365</v>
      </c>
      <c r="D22" s="165">
        <f t="shared" si="4"/>
        <v>0</v>
      </c>
      <c r="E22" s="165">
        <f t="shared" si="4"/>
        <v>1126</v>
      </c>
      <c r="F22" s="165">
        <f t="shared" si="4"/>
        <v>995.7</v>
      </c>
      <c r="G22" s="165">
        <f t="shared" si="4"/>
        <v>1095.5</v>
      </c>
      <c r="H22" s="165">
        <f t="shared" si="4"/>
        <v>518</v>
      </c>
      <c r="I22" s="165">
        <f t="shared" si="4"/>
        <v>1170.7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1319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1148.8</v>
      </c>
      <c r="D23" s="165">
        <f t="shared" si="5"/>
        <v>470.40000000000003</v>
      </c>
      <c r="E23" s="165">
        <f t="shared" si="5"/>
        <v>3068.8</v>
      </c>
      <c r="F23" s="165">
        <f t="shared" si="5"/>
        <v>179.20000000000002</v>
      </c>
      <c r="G23" s="165">
        <f t="shared" si="5"/>
        <v>163.20000000000002</v>
      </c>
      <c r="H23" s="165">
        <f t="shared" si="5"/>
        <v>1245.76</v>
      </c>
      <c r="I23" s="165">
        <f t="shared" si="5"/>
        <v>1849.6000000000001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835.2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0</v>
      </c>
      <c r="D24" s="165">
        <f t="shared" si="6"/>
        <v>0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5780.44</v>
      </c>
      <c r="D28" s="168">
        <f t="shared" si="9"/>
        <v>981.48</v>
      </c>
      <c r="E28" s="168">
        <f t="shared" si="9"/>
        <v>10923.400000000001</v>
      </c>
      <c r="F28" s="168">
        <f t="shared" si="9"/>
        <v>5571.7</v>
      </c>
      <c r="G28" s="168">
        <f t="shared" si="9"/>
        <v>4512.3</v>
      </c>
      <c r="H28" s="168">
        <f t="shared" si="9"/>
        <v>6587.84</v>
      </c>
      <c r="I28" s="168">
        <f t="shared" si="9"/>
        <v>6006.42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5133.24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45496.82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"/>
  <sheetViews>
    <sheetView workbookViewId="0">
      <selection activeCell="I20" sqref="I20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98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926</v>
      </c>
      <c r="F8" s="55">
        <v>25</v>
      </c>
      <c r="G8" s="56">
        <v>1300</v>
      </c>
      <c r="H8" s="54">
        <v>10035</v>
      </c>
      <c r="I8" s="54">
        <v>134</v>
      </c>
      <c r="J8" s="57"/>
      <c r="K8" s="54">
        <v>350</v>
      </c>
      <c r="L8" s="6">
        <v>400</v>
      </c>
      <c r="M8" s="54">
        <v>1500</v>
      </c>
      <c r="N8" s="58">
        <v>1141.048</v>
      </c>
      <c r="O8" s="54">
        <v>750</v>
      </c>
      <c r="P8" s="54">
        <v>100</v>
      </c>
      <c r="Q8" s="59"/>
      <c r="R8" s="60">
        <v>53</v>
      </c>
      <c r="S8" s="61">
        <v>17589.048000000003</v>
      </c>
      <c r="T8" s="62"/>
      <c r="U8" s="63">
        <v>1698.3040000000001</v>
      </c>
      <c r="V8" s="53">
        <v>30</v>
      </c>
      <c r="W8" s="54">
        <v>750</v>
      </c>
      <c r="X8" s="54">
        <v>160.9</v>
      </c>
      <c r="Y8" s="64"/>
      <c r="Z8" s="64"/>
      <c r="AA8" s="65">
        <v>2639.2040000000002</v>
      </c>
      <c r="AB8" s="65">
        <v>14949.844000000003</v>
      </c>
      <c r="AC8" s="66"/>
      <c r="AD8" s="65">
        <v>14949.844000000003</v>
      </c>
      <c r="AE8" s="67">
        <v>926</v>
      </c>
      <c r="AF8" s="51"/>
      <c r="AG8" s="68"/>
      <c r="AH8" s="69"/>
      <c r="AI8" s="70"/>
      <c r="AJ8" s="71"/>
      <c r="AK8" s="72"/>
      <c r="AL8" s="57"/>
      <c r="AM8" s="70"/>
      <c r="AN8" s="73">
        <v>-6074</v>
      </c>
      <c r="AO8" s="73">
        <v>-1822.2</v>
      </c>
      <c r="AR8" s="73">
        <v>17626.548000000003</v>
      </c>
      <c r="AS8" s="73">
        <v>-37.5</v>
      </c>
      <c r="AT8" s="74">
        <v>2639.2040000000002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800</v>
      </c>
      <c r="E9" s="54">
        <v>9401.82</v>
      </c>
      <c r="F9" s="55">
        <v>25.5</v>
      </c>
      <c r="G9" s="56">
        <v>2165</v>
      </c>
      <c r="H9" s="54">
        <v>0</v>
      </c>
      <c r="I9" s="54">
        <v>1458</v>
      </c>
      <c r="J9" s="57"/>
      <c r="K9" s="54">
        <v>350</v>
      </c>
      <c r="L9" s="75"/>
      <c r="M9" s="54"/>
      <c r="N9" s="58">
        <v>1141.048</v>
      </c>
      <c r="O9" s="54">
        <v>765</v>
      </c>
      <c r="P9" s="54">
        <v>100</v>
      </c>
      <c r="Q9" s="59">
        <v>720.54599999999994</v>
      </c>
      <c r="R9" s="54">
        <v>139</v>
      </c>
      <c r="S9" s="61">
        <v>17056.414000000001</v>
      </c>
      <c r="T9" s="62"/>
      <c r="U9" s="63">
        <v>1698.3040000000001</v>
      </c>
      <c r="V9" s="53">
        <v>30</v>
      </c>
      <c r="W9" s="54">
        <v>765</v>
      </c>
      <c r="X9" s="54">
        <v>137.27699999999999</v>
      </c>
      <c r="Y9" s="64"/>
      <c r="Z9" s="64"/>
      <c r="AA9" s="65">
        <v>2630.5810000000001</v>
      </c>
      <c r="AB9" s="65">
        <v>14425.833000000001</v>
      </c>
      <c r="AC9" s="66"/>
      <c r="AD9" s="65">
        <v>14425.833000000001</v>
      </c>
      <c r="AE9" s="67">
        <v>9401.82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2401.8199999999997</v>
      </c>
      <c r="AO9" s="73">
        <v>720.54599999999994</v>
      </c>
      <c r="AP9" s="1"/>
      <c r="AQ9" s="73"/>
      <c r="AR9" s="73">
        <v>17090.414000000001</v>
      </c>
      <c r="AS9" s="73">
        <v>-34</v>
      </c>
      <c r="AT9" s="74">
        <v>2630.5810000000001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400</v>
      </c>
      <c r="E10" s="54">
        <v>7591.94</v>
      </c>
      <c r="F10" s="55">
        <v>26</v>
      </c>
      <c r="G10" s="56">
        <v>80</v>
      </c>
      <c r="H10" s="54"/>
      <c r="I10" s="54">
        <v>1384</v>
      </c>
      <c r="J10" s="57"/>
      <c r="K10" s="54">
        <v>150</v>
      </c>
      <c r="L10" s="75"/>
      <c r="M10" s="54"/>
      <c r="N10" s="58">
        <v>1141.048</v>
      </c>
      <c r="O10" s="54">
        <v>780</v>
      </c>
      <c r="P10" s="54">
        <v>100</v>
      </c>
      <c r="Q10" s="59">
        <v>177.58199999999988</v>
      </c>
      <c r="R10" s="60">
        <v>112</v>
      </c>
      <c r="S10" s="61">
        <v>11932.57</v>
      </c>
      <c r="T10" s="62"/>
      <c r="U10" s="63">
        <v>1698.3040000000001</v>
      </c>
      <c r="V10" s="53">
        <v>30</v>
      </c>
      <c r="W10" s="54">
        <v>780</v>
      </c>
      <c r="X10" s="54">
        <v>151.10400000000001</v>
      </c>
      <c r="Y10" s="64"/>
      <c r="Z10" s="64"/>
      <c r="AA10" s="65">
        <v>2659.4079999999999</v>
      </c>
      <c r="AB10" s="65">
        <v>9273.1620000000003</v>
      </c>
      <c r="AC10" s="66"/>
      <c r="AD10" s="65">
        <v>9273.1620000000003</v>
      </c>
      <c r="AE10" s="67">
        <v>7591.94</v>
      </c>
      <c r="AF10" s="51"/>
      <c r="AG10" s="68"/>
      <c r="AH10" s="69"/>
      <c r="AI10" s="70"/>
      <c r="AJ10" s="71"/>
      <c r="AK10" s="72"/>
      <c r="AL10" s="57"/>
      <c r="AM10" s="70"/>
      <c r="AN10" s="73">
        <v>591.9399999999996</v>
      </c>
      <c r="AO10" s="73">
        <v>177.58199999999988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6268.26</v>
      </c>
      <c r="F11" s="55">
        <v>26</v>
      </c>
      <c r="G11" s="56">
        <v>780</v>
      </c>
      <c r="H11" s="54">
        <v>1800</v>
      </c>
      <c r="I11" s="54">
        <v>840</v>
      </c>
      <c r="J11" s="57"/>
      <c r="K11" s="54">
        <v>500</v>
      </c>
      <c r="L11" s="75"/>
      <c r="M11" s="54"/>
      <c r="N11" s="58">
        <v>1141.048</v>
      </c>
      <c r="O11" s="54">
        <v>780</v>
      </c>
      <c r="P11" s="54"/>
      <c r="Q11" s="59"/>
      <c r="R11" s="60">
        <v>224</v>
      </c>
      <c r="S11" s="61">
        <v>13061.308000000001</v>
      </c>
      <c r="T11" s="62"/>
      <c r="U11" s="63">
        <v>1698.3040000000001</v>
      </c>
      <c r="V11" s="53">
        <v>30</v>
      </c>
      <c r="W11" s="54">
        <v>780</v>
      </c>
      <c r="X11" s="54"/>
      <c r="Y11" s="64"/>
      <c r="Z11" s="64"/>
      <c r="AA11" s="65">
        <v>2508.3040000000001</v>
      </c>
      <c r="AB11" s="65">
        <v>10553.004000000001</v>
      </c>
      <c r="AC11" s="66"/>
      <c r="AD11" s="65">
        <v>10553.004000000001</v>
      </c>
      <c r="AE11" s="67">
        <v>6268.26</v>
      </c>
      <c r="AF11" s="51"/>
      <c r="AG11" s="68"/>
      <c r="AH11" s="69"/>
      <c r="AI11" s="70"/>
      <c r="AJ11" s="71"/>
      <c r="AK11" s="72"/>
      <c r="AL11" s="57"/>
      <c r="AM11" s="70"/>
      <c r="AN11" s="73">
        <v>-731.73999999999978</v>
      </c>
      <c r="AO11" s="73">
        <v>-219.52199999999993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4674.3999999999996</v>
      </c>
      <c r="F12" s="55">
        <v>25.5</v>
      </c>
      <c r="G12" s="56">
        <v>2920</v>
      </c>
      <c r="H12" s="54">
        <v>6950</v>
      </c>
      <c r="I12" s="54">
        <v>467</v>
      </c>
      <c r="J12" s="57"/>
      <c r="K12" s="54">
        <v>400</v>
      </c>
      <c r="L12" s="75">
        <v>200</v>
      </c>
      <c r="M12" s="54"/>
      <c r="N12" s="58">
        <v>1141.048</v>
      </c>
      <c r="O12" s="54">
        <v>765</v>
      </c>
      <c r="P12" s="54"/>
      <c r="Q12" s="59"/>
      <c r="R12" s="60">
        <v>140</v>
      </c>
      <c r="S12" s="61">
        <v>18473.448</v>
      </c>
      <c r="T12" s="62"/>
      <c r="U12" s="63">
        <v>1698.3040000000001</v>
      </c>
      <c r="V12" s="53">
        <v>30</v>
      </c>
      <c r="W12" s="54">
        <v>765</v>
      </c>
      <c r="X12" s="54"/>
      <c r="Y12" s="64"/>
      <c r="Z12" s="64"/>
      <c r="AA12" s="65">
        <v>2493.3040000000001</v>
      </c>
      <c r="AB12" s="65">
        <v>15980.144</v>
      </c>
      <c r="AC12" s="66"/>
      <c r="AD12" s="65">
        <v>15980.144</v>
      </c>
      <c r="AE12" s="67">
        <v>4674.3999999999996</v>
      </c>
      <c r="AF12" s="51"/>
      <c r="AG12" s="68"/>
      <c r="AH12" s="69"/>
      <c r="AI12" s="70"/>
      <c r="AJ12" s="71"/>
      <c r="AK12" s="72"/>
      <c r="AL12" s="57"/>
      <c r="AM12" s="70"/>
      <c r="AN12" s="73">
        <v>-2325.6000000000004</v>
      </c>
      <c r="AO12" s="73">
        <v>-697.68000000000006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500</v>
      </c>
      <c r="E13" s="54">
        <v>6887.3000000000011</v>
      </c>
      <c r="F13" s="55">
        <v>27.5</v>
      </c>
      <c r="G13" s="56">
        <v>1585</v>
      </c>
      <c r="H13" s="54">
        <v>1000</v>
      </c>
      <c r="I13" s="54">
        <v>971</v>
      </c>
      <c r="J13" s="57"/>
      <c r="K13" s="54">
        <v>600</v>
      </c>
      <c r="L13" s="75">
        <v>200</v>
      </c>
      <c r="M13" s="54"/>
      <c r="N13" s="58">
        <v>1141.048</v>
      </c>
      <c r="O13" s="54">
        <v>825</v>
      </c>
      <c r="P13" s="54">
        <v>100</v>
      </c>
      <c r="Q13" s="59"/>
      <c r="R13" s="60">
        <v>45</v>
      </c>
      <c r="S13" s="61">
        <v>13904.348000000002</v>
      </c>
      <c r="T13" s="62"/>
      <c r="U13" s="63">
        <v>1698.3040000000001</v>
      </c>
      <c r="V13" s="53">
        <v>30</v>
      </c>
      <c r="W13" s="54">
        <v>825</v>
      </c>
      <c r="X13" s="54">
        <v>123.66200000000001</v>
      </c>
      <c r="Y13" s="64"/>
      <c r="Z13" s="64"/>
      <c r="AA13" s="65">
        <v>2676.9659999999999</v>
      </c>
      <c r="AB13" s="65">
        <v>11227.382000000001</v>
      </c>
      <c r="AC13" s="66"/>
      <c r="AD13" s="65">
        <v>11227.382000000001</v>
      </c>
      <c r="AE13" s="67">
        <v>6887.3000000000011</v>
      </c>
      <c r="AF13" s="51"/>
      <c r="AG13" s="68"/>
      <c r="AH13" s="69"/>
      <c r="AI13" s="70"/>
      <c r="AJ13" s="71"/>
      <c r="AK13" s="72"/>
      <c r="AL13" s="57"/>
      <c r="AM13" s="70"/>
      <c r="AN13" s="73">
        <v>-112.69999999999891</v>
      </c>
      <c r="AO13" s="73">
        <v>-33.809999999999668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3076.2400000000002</v>
      </c>
      <c r="F14" s="55">
        <v>22.5</v>
      </c>
      <c r="G14" s="56">
        <v>880</v>
      </c>
      <c r="H14" s="54">
        <v>2850</v>
      </c>
      <c r="I14" s="54">
        <v>466</v>
      </c>
      <c r="J14" s="57"/>
      <c r="K14" s="54">
        <v>500</v>
      </c>
      <c r="L14" s="75"/>
      <c r="M14" s="54"/>
      <c r="N14" s="58">
        <v>1141.048</v>
      </c>
      <c r="O14" s="54">
        <v>675</v>
      </c>
      <c r="P14" s="54">
        <v>100</v>
      </c>
      <c r="Q14" s="59"/>
      <c r="R14" s="60"/>
      <c r="S14" s="61">
        <v>9868.2880000000005</v>
      </c>
      <c r="T14" s="62"/>
      <c r="U14" s="63">
        <v>1698.3040000000001</v>
      </c>
      <c r="V14" s="53">
        <v>30</v>
      </c>
      <c r="W14" s="54">
        <v>675</v>
      </c>
      <c r="X14" s="54">
        <v>120</v>
      </c>
      <c r="Y14" s="64">
        <v>50</v>
      </c>
      <c r="Z14" s="64"/>
      <c r="AA14" s="65">
        <v>2573.3040000000001</v>
      </c>
      <c r="AB14" s="65">
        <v>7294.9840000000004</v>
      </c>
      <c r="AC14" s="66"/>
      <c r="AD14" s="65">
        <v>7294.9840000000004</v>
      </c>
      <c r="AE14" s="67">
        <v>3076.2400000000002</v>
      </c>
      <c r="AF14" s="51"/>
      <c r="AG14" s="68"/>
      <c r="AH14" s="69"/>
      <c r="AI14" s="70"/>
      <c r="AJ14" s="71"/>
      <c r="AK14" s="72"/>
      <c r="AL14" s="57"/>
      <c r="AM14" s="70"/>
      <c r="AN14" s="73">
        <v>-3923.7599999999998</v>
      </c>
      <c r="AO14" s="73">
        <v>-1177.1279999999999</v>
      </c>
      <c r="AR14" s="73"/>
      <c r="AS14" s="73"/>
      <c r="AT14" s="74"/>
      <c r="AU14" s="73"/>
    </row>
    <row r="15" spans="1:47" ht="33" customHeight="1" x14ac:dyDescent="0.25">
      <c r="A15" s="26" t="s">
        <v>54</v>
      </c>
      <c r="B15" s="31"/>
      <c r="C15" s="87"/>
      <c r="D15" s="62"/>
      <c r="E15" s="88">
        <v>38825.96</v>
      </c>
      <c r="F15" s="89"/>
      <c r="G15" s="90">
        <v>9710</v>
      </c>
      <c r="H15" s="90">
        <v>22635</v>
      </c>
      <c r="I15" s="90">
        <v>5720</v>
      </c>
      <c r="J15" s="90">
        <v>0</v>
      </c>
      <c r="K15" s="90">
        <v>2850</v>
      </c>
      <c r="L15" s="90">
        <v>800</v>
      </c>
      <c r="M15" s="90">
        <v>1500</v>
      </c>
      <c r="N15" s="90">
        <v>7987.3359999999993</v>
      </c>
      <c r="O15" s="90">
        <v>5340</v>
      </c>
      <c r="P15" s="90">
        <v>500</v>
      </c>
      <c r="Q15" s="90">
        <v>898.12799999999982</v>
      </c>
      <c r="R15" s="90">
        <v>713</v>
      </c>
      <c r="S15" s="90">
        <v>101885.424</v>
      </c>
      <c r="T15" s="90">
        <v>0</v>
      </c>
      <c r="U15" s="90">
        <v>11888.128000000001</v>
      </c>
      <c r="V15" s="90">
        <v>210</v>
      </c>
      <c r="W15" s="90">
        <v>5340</v>
      </c>
      <c r="X15" s="90">
        <v>692.9430000000001</v>
      </c>
      <c r="Y15" s="90">
        <v>50</v>
      </c>
      <c r="Z15" s="90">
        <v>0</v>
      </c>
      <c r="AA15" s="90">
        <v>18181.071</v>
      </c>
      <c r="AB15" s="90">
        <v>83704.353000000003</v>
      </c>
      <c r="AC15" s="90">
        <v>0</v>
      </c>
      <c r="AD15" s="90">
        <v>83704.353000000003</v>
      </c>
    </row>
    <row r="16" spans="1:47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 t="s">
        <v>55</v>
      </c>
      <c r="AA17" s="96"/>
      <c r="AB17" s="96"/>
      <c r="AC17" s="93"/>
      <c r="AD17" s="96"/>
    </row>
    <row r="18" spans="1:42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42" x14ac:dyDescent="0.25">
      <c r="B19" s="1"/>
      <c r="D19" s="6"/>
      <c r="H19" s="67"/>
      <c r="O19" s="6"/>
      <c r="S19" s="100"/>
      <c r="T19" s="100"/>
      <c r="X19" s="101"/>
      <c r="AA19" s="6"/>
    </row>
    <row r="20" spans="1:42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42" x14ac:dyDescent="0.25">
      <c r="B21" s="1"/>
      <c r="D21" s="6"/>
      <c r="O21" s="6"/>
      <c r="S21" s="104"/>
      <c r="T21" s="100"/>
      <c r="U21" s="103"/>
      <c r="AA21" s="6"/>
      <c r="AP21" s="67"/>
    </row>
    <row r="22" spans="1:42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F22" s="109"/>
      <c r="AH22" s="109"/>
      <c r="AJ22" s="109"/>
      <c r="AK22" s="109"/>
      <c r="AP22" s="114"/>
    </row>
    <row r="23" spans="1:42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N23" s="67"/>
      <c r="AP23" s="67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N26" s="67"/>
      <c r="AP26" s="67"/>
    </row>
    <row r="27" spans="1:42" s="1" customFormat="1" x14ac:dyDescent="0.25">
      <c r="E27" s="73"/>
      <c r="F27" s="98"/>
      <c r="L27" s="32"/>
      <c r="AF27" s="6"/>
      <c r="AG27" s="4"/>
      <c r="AH27" s="6"/>
      <c r="AI27" s="4"/>
      <c r="AJ27" s="6"/>
      <c r="AK27" s="6"/>
      <c r="AL27" s="4"/>
      <c r="AM27" s="4"/>
      <c r="AP27" s="67"/>
    </row>
    <row r="28" spans="1:42" x14ac:dyDescent="0.25">
      <c r="AP28" s="67"/>
    </row>
    <row r="29" spans="1:42" x14ac:dyDescent="0.25">
      <c r="W29" s="103"/>
      <c r="AP29" s="67"/>
    </row>
    <row r="30" spans="1:42" x14ac:dyDescent="0.25">
      <c r="W30" s="103"/>
      <c r="AP30" s="67"/>
    </row>
    <row r="31" spans="1:42" x14ac:dyDescent="0.25">
      <c r="A31" s="8"/>
      <c r="B31" s="8"/>
      <c r="O31" s="103"/>
      <c r="AP31" s="67"/>
    </row>
    <row r="32" spans="1:42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P32" s="67"/>
    </row>
    <row r="33" spans="1:45" x14ac:dyDescent="0.25">
      <c r="A33" s="8"/>
      <c r="B33" s="8"/>
      <c r="AP33" s="67"/>
    </row>
    <row r="34" spans="1:45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F34" s="6"/>
      <c r="AG34" s="4"/>
      <c r="AH34" s="6"/>
      <c r="AI34" s="4"/>
      <c r="AJ34" s="6"/>
      <c r="AK34" s="6"/>
      <c r="AL34" s="4"/>
      <c r="AM34" s="4"/>
      <c r="AP34" s="67"/>
    </row>
    <row r="35" spans="1:45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 t="s">
        <v>62</v>
      </c>
      <c r="AH38" s="6"/>
      <c r="AI38" s="4"/>
      <c r="AJ38" s="6"/>
      <c r="AK38" s="6"/>
      <c r="AL38" s="4"/>
      <c r="AM38" s="4"/>
      <c r="AN38" s="119"/>
      <c r="AO38" s="4"/>
      <c r="AP38" s="67"/>
      <c r="AQ38" s="4"/>
      <c r="AR38" s="4"/>
      <c r="AS38" s="4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120" t="s">
        <v>63</v>
      </c>
      <c r="AG39" s="4"/>
      <c r="AH39" s="6"/>
      <c r="AI39" s="4"/>
      <c r="AJ39" s="6"/>
      <c r="AK39" s="6"/>
      <c r="AL39" s="4"/>
      <c r="AM39" s="4"/>
      <c r="AN39" s="4"/>
      <c r="AO39" s="4"/>
      <c r="AP39" s="67"/>
      <c r="AQ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64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65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x14ac:dyDescent="0.25">
      <c r="AP42" s="67"/>
    </row>
    <row r="43" spans="1:45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6"/>
      <c r="AG43" s="4"/>
      <c r="AH43" s="6"/>
      <c r="AI43" s="4"/>
      <c r="AJ43" s="6"/>
      <c r="AK43" s="6"/>
      <c r="AL43" s="4"/>
      <c r="AM43" s="4"/>
      <c r="AN43" s="4"/>
      <c r="AO43" s="4"/>
      <c r="AP43" s="67"/>
      <c r="AQ43" s="4"/>
    </row>
    <row r="44" spans="1:45" x14ac:dyDescent="0.25">
      <c r="AP44" s="67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5" spans="2:42" x14ac:dyDescent="0.25">
      <c r="B55" s="103"/>
      <c r="E55" s="122"/>
      <c r="F55" s="122"/>
    </row>
    <row r="60" spans="2:42" x14ac:dyDescent="0.25">
      <c r="V60" s="123"/>
    </row>
    <row r="91" spans="1:43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G91" s="4"/>
      <c r="AI91" s="4"/>
      <c r="AL91" s="4"/>
      <c r="AM91" s="4"/>
      <c r="AN91" s="4"/>
      <c r="AO91" s="4"/>
      <c r="AP91" s="4"/>
      <c r="AQ91" s="4"/>
    </row>
    <row r="92" spans="1:43" x14ac:dyDescent="0.25">
      <c r="B92" s="124"/>
    </row>
    <row r="95" spans="1:43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G95" s="4"/>
      <c r="AI95" s="4"/>
      <c r="AL95" s="4"/>
      <c r="AM95" s="4"/>
      <c r="AN95" s="4"/>
      <c r="AO95" s="4"/>
      <c r="AP95" s="4"/>
      <c r="AQ95" s="4"/>
    </row>
    <row r="96" spans="1:43" x14ac:dyDescent="0.25">
      <c r="A96" s="51"/>
    </row>
  </sheetData>
  <mergeCells count="50">
    <mergeCell ref="Y6:Y7"/>
    <mergeCell ref="Z6:Z7"/>
    <mergeCell ref="A15:B15"/>
    <mergeCell ref="C18:E18"/>
    <mergeCell ref="N22:P22"/>
    <mergeCell ref="E55:F55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topLeftCell="A4" workbookViewId="0">
      <selection activeCell="T14" sqref="T14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99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3500</v>
      </c>
      <c r="D8" s="143">
        <v>500</v>
      </c>
      <c r="E8" s="143">
        <v>5150</v>
      </c>
      <c r="F8" s="143">
        <v>1000</v>
      </c>
      <c r="G8" s="143"/>
      <c r="H8" s="143">
        <v>2100</v>
      </c>
      <c r="I8" s="143">
        <v>3000</v>
      </c>
      <c r="J8" s="143"/>
      <c r="K8" s="143"/>
      <c r="L8" s="143"/>
      <c r="M8" s="143"/>
      <c r="N8" s="143">
        <v>2500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7</v>
      </c>
      <c r="D9" s="146">
        <v>1</v>
      </c>
      <c r="E9" s="146">
        <v>10.5</v>
      </c>
      <c r="F9" s="146">
        <v>2</v>
      </c>
      <c r="G9" s="146"/>
      <c r="H9" s="146">
        <v>4.5</v>
      </c>
      <c r="I9" s="146">
        <v>6</v>
      </c>
      <c r="J9" s="146"/>
      <c r="K9" s="148"/>
      <c r="L9" s="146"/>
      <c r="M9" s="146"/>
      <c r="N9" s="146">
        <v>5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f>11532+130</f>
        <v>11662</v>
      </c>
      <c r="D10" s="152">
        <v>795</v>
      </c>
      <c r="E10" s="152">
        <v>13766</v>
      </c>
      <c r="F10" s="152">
        <v>7037</v>
      </c>
      <c r="G10" s="154"/>
      <c r="H10" s="154">
        <f>14883+130</f>
        <v>15013</v>
      </c>
      <c r="I10" s="154">
        <v>5925</v>
      </c>
      <c r="J10" s="152"/>
      <c r="K10" s="152"/>
      <c r="L10" s="152"/>
      <c r="M10" s="152"/>
      <c r="N10" s="152">
        <v>10471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9621</v>
      </c>
      <c r="D12" s="141"/>
      <c r="E12" s="141">
        <v>18985</v>
      </c>
      <c r="F12" s="141">
        <v>3900</v>
      </c>
      <c r="G12" s="160"/>
      <c r="H12" s="160">
        <v>8795</v>
      </c>
      <c r="I12" s="160">
        <v>10960</v>
      </c>
      <c r="J12" s="143"/>
      <c r="K12" s="141"/>
      <c r="L12" s="141"/>
      <c r="M12" s="141"/>
      <c r="N12" s="141">
        <v>15365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4573</v>
      </c>
      <c r="D13" s="141">
        <v>1880</v>
      </c>
      <c r="E13" s="141">
        <v>7385</v>
      </c>
      <c r="F13" s="141">
        <v>920</v>
      </c>
      <c r="G13" s="160"/>
      <c r="H13" s="160">
        <v>4979</v>
      </c>
      <c r="I13" s="160">
        <v>3195</v>
      </c>
      <c r="J13" s="143"/>
      <c r="K13" s="143"/>
      <c r="L13" s="141"/>
      <c r="M13" s="141"/>
      <c r="N13" s="141">
        <v>3222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>
        <v>1500</v>
      </c>
      <c r="D14" s="141"/>
      <c r="E14" s="141"/>
      <c r="F14" s="141"/>
      <c r="G14" s="160"/>
      <c r="H14" s="160"/>
      <c r="I14" s="160">
        <v>1500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30856</v>
      </c>
      <c r="D18" s="164">
        <f>SUM(D10:D17)+D8</f>
        <v>3175</v>
      </c>
      <c r="E18" s="164">
        <f>SUM(E10:E17)+E8</f>
        <v>45286</v>
      </c>
      <c r="F18" s="164">
        <f>SUM(F10:F17)+F8</f>
        <v>12857</v>
      </c>
      <c r="G18" s="164">
        <f t="shared" ref="G18:N18" si="0">SUM(G10:G17)+G8</f>
        <v>0</v>
      </c>
      <c r="H18" s="164">
        <f t="shared" si="0"/>
        <v>30887</v>
      </c>
      <c r="I18" s="164">
        <f>SUM(I10:I17)+I8</f>
        <v>24580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31558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490</v>
      </c>
      <c r="D19" s="165">
        <f t="shared" ref="D19:N19" si="1">D9*70</f>
        <v>70</v>
      </c>
      <c r="E19" s="165">
        <f t="shared" si="1"/>
        <v>735</v>
      </c>
      <c r="F19" s="165">
        <f t="shared" si="1"/>
        <v>140</v>
      </c>
      <c r="G19" s="165">
        <f t="shared" si="1"/>
        <v>0</v>
      </c>
      <c r="H19" s="165">
        <f t="shared" si="1"/>
        <v>315</v>
      </c>
      <c r="I19" s="165">
        <f t="shared" si="1"/>
        <v>420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350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3731.84</v>
      </c>
      <c r="D20" s="165">
        <f t="shared" si="2"/>
        <v>254.4</v>
      </c>
      <c r="E20" s="165">
        <f t="shared" si="2"/>
        <v>4405.12</v>
      </c>
      <c r="F20" s="165">
        <f t="shared" si="2"/>
        <v>2251.84</v>
      </c>
      <c r="G20" s="165">
        <f t="shared" si="2"/>
        <v>0</v>
      </c>
      <c r="H20" s="165">
        <f t="shared" si="2"/>
        <v>4804.16</v>
      </c>
      <c r="I20" s="165">
        <f t="shared" si="2"/>
        <v>1896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3350.7200000000003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962.1</v>
      </c>
      <c r="D22" s="165">
        <f t="shared" si="4"/>
        <v>0</v>
      </c>
      <c r="E22" s="165">
        <f t="shared" si="4"/>
        <v>1898.5</v>
      </c>
      <c r="F22" s="165">
        <f t="shared" si="4"/>
        <v>390</v>
      </c>
      <c r="G22" s="165">
        <f t="shared" si="4"/>
        <v>0</v>
      </c>
      <c r="H22" s="165">
        <f t="shared" si="4"/>
        <v>879.5</v>
      </c>
      <c r="I22" s="165">
        <f t="shared" si="4"/>
        <v>1096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1536.5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1463.3600000000001</v>
      </c>
      <c r="D23" s="165">
        <f t="shared" si="5"/>
        <v>601.6</v>
      </c>
      <c r="E23" s="165">
        <f t="shared" si="5"/>
        <v>2363.2000000000003</v>
      </c>
      <c r="F23" s="165">
        <f t="shared" si="5"/>
        <v>294.40000000000003</v>
      </c>
      <c r="G23" s="165">
        <f t="shared" si="5"/>
        <v>0</v>
      </c>
      <c r="H23" s="165">
        <f t="shared" si="5"/>
        <v>1593.28</v>
      </c>
      <c r="I23" s="165">
        <f t="shared" si="5"/>
        <v>1022.4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1031.04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240</v>
      </c>
      <c r="D24" s="165">
        <f t="shared" si="6"/>
        <v>0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240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6887.3000000000011</v>
      </c>
      <c r="D28" s="168">
        <f t="shared" si="9"/>
        <v>926</v>
      </c>
      <c r="E28" s="168">
        <f t="shared" si="9"/>
        <v>9401.82</v>
      </c>
      <c r="F28" s="168">
        <f t="shared" si="9"/>
        <v>3076.2400000000002</v>
      </c>
      <c r="G28" s="168">
        <f t="shared" si="9"/>
        <v>0</v>
      </c>
      <c r="H28" s="168">
        <f t="shared" si="9"/>
        <v>7591.94</v>
      </c>
      <c r="I28" s="168">
        <f t="shared" si="9"/>
        <v>4674.3999999999996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6268.26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38825.960000000006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"/>
  <sheetViews>
    <sheetView workbookViewId="0">
      <selection activeCell="I24" sqref="I24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8.140625" style="6" customWidth="1"/>
    <col min="13" max="13" width="8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100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5766.14</v>
      </c>
      <c r="F8" s="55">
        <v>27.5</v>
      </c>
      <c r="G8" s="56">
        <v>1320</v>
      </c>
      <c r="H8" s="54">
        <v>5710</v>
      </c>
      <c r="I8" s="54">
        <v>618</v>
      </c>
      <c r="J8" s="57"/>
      <c r="K8" s="54">
        <v>500</v>
      </c>
      <c r="L8" s="6">
        <v>800</v>
      </c>
      <c r="M8" s="54">
        <v>1500</v>
      </c>
      <c r="N8" s="58">
        <v>1141.048</v>
      </c>
      <c r="O8" s="54">
        <v>825</v>
      </c>
      <c r="P8" s="54">
        <v>100</v>
      </c>
      <c r="Q8" s="59"/>
      <c r="R8" s="60">
        <v>142</v>
      </c>
      <c r="S8" s="61">
        <v>19453.438000000002</v>
      </c>
      <c r="T8" s="62"/>
      <c r="U8" s="63">
        <v>1698.3040000000001</v>
      </c>
      <c r="V8" s="53">
        <v>30</v>
      </c>
      <c r="W8" s="54">
        <v>825</v>
      </c>
      <c r="X8" s="54">
        <v>160</v>
      </c>
      <c r="Y8" s="64"/>
      <c r="Z8" s="64"/>
      <c r="AA8" s="65">
        <v>2713.3040000000001</v>
      </c>
      <c r="AB8" s="65">
        <v>16740.134000000002</v>
      </c>
      <c r="AC8" s="66"/>
      <c r="AD8" s="65">
        <v>16740.134000000002</v>
      </c>
      <c r="AE8" s="67">
        <v>5766.14</v>
      </c>
      <c r="AF8" s="51"/>
      <c r="AG8" s="68"/>
      <c r="AH8" s="69"/>
      <c r="AI8" s="70"/>
      <c r="AJ8" s="71"/>
      <c r="AK8" s="72"/>
      <c r="AL8" s="57"/>
      <c r="AM8" s="70"/>
      <c r="AN8" s="73">
        <v>-1233.8599999999997</v>
      </c>
      <c r="AO8" s="73">
        <v>-370.1579999999999</v>
      </c>
      <c r="AR8" s="73">
        <v>19453.438000000002</v>
      </c>
      <c r="AS8" s="73">
        <v>0</v>
      </c>
      <c r="AT8" s="74">
        <v>2713.3040000000001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6838</v>
      </c>
      <c r="F9" s="55">
        <v>22.5</v>
      </c>
      <c r="G9" s="56">
        <v>1865</v>
      </c>
      <c r="H9" s="54">
        <v>0</v>
      </c>
      <c r="I9" s="54">
        <v>1076</v>
      </c>
      <c r="J9" s="57"/>
      <c r="K9" s="54">
        <v>300</v>
      </c>
      <c r="L9" s="75">
        <v>225</v>
      </c>
      <c r="M9" s="54"/>
      <c r="N9" s="58">
        <v>1141.048</v>
      </c>
      <c r="O9" s="54">
        <v>675</v>
      </c>
      <c r="P9" s="54">
        <v>100</v>
      </c>
      <c r="Q9" s="59"/>
      <c r="R9" s="54">
        <v>66</v>
      </c>
      <c r="S9" s="61">
        <v>13129.797999999999</v>
      </c>
      <c r="T9" s="62"/>
      <c r="U9" s="63">
        <v>1698.3040000000001</v>
      </c>
      <c r="V9" s="53">
        <v>30</v>
      </c>
      <c r="W9" s="54">
        <v>675</v>
      </c>
      <c r="X9" s="54">
        <v>123.38200000000001</v>
      </c>
      <c r="Y9" s="64"/>
      <c r="Z9" s="64"/>
      <c r="AA9" s="65">
        <v>2526.6860000000001</v>
      </c>
      <c r="AB9" s="65">
        <v>10603.111999999999</v>
      </c>
      <c r="AC9" s="66"/>
      <c r="AD9" s="65">
        <v>10603.111999999999</v>
      </c>
      <c r="AE9" s="67">
        <v>6838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-162</v>
      </c>
      <c r="AO9" s="73">
        <v>-48.6</v>
      </c>
      <c r="AP9" s="1"/>
      <c r="AQ9" s="73"/>
      <c r="AR9" s="73">
        <v>13129.797999999999</v>
      </c>
      <c r="AS9" s="73">
        <v>0</v>
      </c>
      <c r="AT9" s="74">
        <v>2526.6860000000001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6001.52</v>
      </c>
      <c r="F10" s="55">
        <v>22.5</v>
      </c>
      <c r="G10" s="56">
        <v>80</v>
      </c>
      <c r="H10" s="54"/>
      <c r="I10" s="54">
        <v>959</v>
      </c>
      <c r="J10" s="57"/>
      <c r="K10" s="54">
        <v>100</v>
      </c>
      <c r="L10" s="75"/>
      <c r="M10" s="54"/>
      <c r="N10" s="58">
        <v>1141.048</v>
      </c>
      <c r="O10" s="54">
        <v>675</v>
      </c>
      <c r="P10" s="54">
        <v>100</v>
      </c>
      <c r="Q10" s="59"/>
      <c r="R10" s="60">
        <v>86</v>
      </c>
      <c r="S10" s="61">
        <v>9611.3179999999993</v>
      </c>
      <c r="T10" s="62"/>
      <c r="U10" s="63">
        <v>1698.3040000000001</v>
      </c>
      <c r="V10" s="53">
        <v>30</v>
      </c>
      <c r="W10" s="54">
        <v>675</v>
      </c>
      <c r="X10" s="54">
        <v>130.59899999999999</v>
      </c>
      <c r="Y10" s="64"/>
      <c r="Z10" s="64"/>
      <c r="AA10" s="65">
        <v>2533.9030000000002</v>
      </c>
      <c r="AB10" s="65">
        <v>7077.4149999999991</v>
      </c>
      <c r="AC10" s="66"/>
      <c r="AD10" s="65">
        <v>7077.4149999999991</v>
      </c>
      <c r="AE10" s="67">
        <v>6001.52</v>
      </c>
      <c r="AF10" s="51"/>
      <c r="AG10" s="68"/>
      <c r="AH10" s="69"/>
      <c r="AI10" s="70"/>
      <c r="AJ10" s="71"/>
      <c r="AK10" s="72"/>
      <c r="AL10" s="57"/>
      <c r="AM10" s="70"/>
      <c r="AN10" s="73">
        <v>-998.47999999999956</v>
      </c>
      <c r="AO10" s="73">
        <v>-299.54399999999987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5247.9600000000009</v>
      </c>
      <c r="F11" s="55">
        <v>25</v>
      </c>
      <c r="G11" s="56">
        <v>1970</v>
      </c>
      <c r="H11" s="54">
        <v>750</v>
      </c>
      <c r="I11" s="54">
        <v>728</v>
      </c>
      <c r="J11" s="57"/>
      <c r="K11" s="54">
        <v>400</v>
      </c>
      <c r="L11" s="75">
        <v>225</v>
      </c>
      <c r="M11" s="54"/>
      <c r="N11" s="58">
        <v>1141.048</v>
      </c>
      <c r="O11" s="54">
        <v>750</v>
      </c>
      <c r="P11" s="54"/>
      <c r="Q11" s="59"/>
      <c r="R11" s="60">
        <v>98</v>
      </c>
      <c r="S11" s="61">
        <v>12039.174666666668</v>
      </c>
      <c r="T11" s="62"/>
      <c r="U11" s="63">
        <v>1698.3040000000001</v>
      </c>
      <c r="V11" s="53">
        <v>30</v>
      </c>
      <c r="W11" s="54">
        <v>750</v>
      </c>
      <c r="X11" s="54"/>
      <c r="Y11" s="64"/>
      <c r="Z11" s="64"/>
      <c r="AA11" s="65">
        <v>2478.3040000000001</v>
      </c>
      <c r="AB11" s="65">
        <v>9560.8706666666676</v>
      </c>
      <c r="AC11" s="66"/>
      <c r="AD11" s="65">
        <v>9560.8706666666676</v>
      </c>
      <c r="AE11" s="67">
        <v>5247.9600000000009</v>
      </c>
      <c r="AF11" s="51"/>
      <c r="AG11" s="68"/>
      <c r="AH11" s="69"/>
      <c r="AI11" s="70"/>
      <c r="AJ11" s="71"/>
      <c r="AK11" s="72"/>
      <c r="AL11" s="57"/>
      <c r="AM11" s="70"/>
      <c r="AN11" s="73">
        <v>-1752.0399999999991</v>
      </c>
      <c r="AO11" s="73">
        <v>-525.61199999999974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6609.54</v>
      </c>
      <c r="F12" s="55">
        <v>24.5</v>
      </c>
      <c r="G12" s="56">
        <v>2675</v>
      </c>
      <c r="H12" s="54">
        <v>3560</v>
      </c>
      <c r="I12" s="54">
        <v>728</v>
      </c>
      <c r="J12" s="57"/>
      <c r="K12" s="54">
        <v>550</v>
      </c>
      <c r="L12" s="75"/>
      <c r="M12" s="54"/>
      <c r="N12" s="58">
        <v>1141.048</v>
      </c>
      <c r="O12" s="54">
        <v>735</v>
      </c>
      <c r="P12" s="54"/>
      <c r="Q12" s="59"/>
      <c r="R12" s="60">
        <v>45</v>
      </c>
      <c r="S12" s="61">
        <v>16860.254666666668</v>
      </c>
      <c r="T12" s="62"/>
      <c r="U12" s="63">
        <v>1698.3040000000001</v>
      </c>
      <c r="V12" s="53">
        <v>30</v>
      </c>
      <c r="W12" s="54">
        <v>735</v>
      </c>
      <c r="X12" s="54"/>
      <c r="Y12" s="64"/>
      <c r="Z12" s="64"/>
      <c r="AA12" s="65">
        <v>2463.3040000000001</v>
      </c>
      <c r="AB12" s="65">
        <v>14396.950666666668</v>
      </c>
      <c r="AC12" s="66"/>
      <c r="AD12" s="65">
        <v>14396.950666666668</v>
      </c>
      <c r="AE12" s="67">
        <v>6609.54</v>
      </c>
      <c r="AF12" s="51"/>
      <c r="AG12" s="68"/>
      <c r="AH12" s="69"/>
      <c r="AI12" s="70"/>
      <c r="AJ12" s="71"/>
      <c r="AK12" s="72"/>
      <c r="AL12" s="57"/>
      <c r="AM12" s="70"/>
      <c r="AN12" s="73">
        <v>-390.46000000000004</v>
      </c>
      <c r="AO12" s="73">
        <v>-117.13800000000001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6334.6</v>
      </c>
      <c r="F13" s="55">
        <v>23.5</v>
      </c>
      <c r="G13" s="56">
        <v>975</v>
      </c>
      <c r="H13" s="54">
        <v>400</v>
      </c>
      <c r="I13" s="54">
        <v>984</v>
      </c>
      <c r="J13" s="57"/>
      <c r="K13" s="54">
        <v>350</v>
      </c>
      <c r="L13" s="75"/>
      <c r="M13" s="54"/>
      <c r="N13" s="58">
        <v>1141.048</v>
      </c>
      <c r="O13" s="54">
        <v>705</v>
      </c>
      <c r="P13" s="54">
        <v>100</v>
      </c>
      <c r="Q13" s="59"/>
      <c r="R13" s="60">
        <v>189</v>
      </c>
      <c r="S13" s="61">
        <v>11766.148000000001</v>
      </c>
      <c r="T13" s="62"/>
      <c r="U13" s="63">
        <v>1698.3040000000001</v>
      </c>
      <c r="V13" s="53">
        <v>30</v>
      </c>
      <c r="W13" s="54">
        <v>705</v>
      </c>
      <c r="X13" s="54">
        <v>129.10599999999999</v>
      </c>
      <c r="Y13" s="64"/>
      <c r="Z13" s="64"/>
      <c r="AA13" s="65">
        <v>2562.41</v>
      </c>
      <c r="AB13" s="65">
        <v>9203.7380000000012</v>
      </c>
      <c r="AC13" s="66"/>
      <c r="AD13" s="65">
        <v>9203.7380000000012</v>
      </c>
      <c r="AE13" s="67">
        <v>6334.6</v>
      </c>
      <c r="AF13" s="51"/>
      <c r="AG13" s="68"/>
      <c r="AH13" s="69"/>
      <c r="AI13" s="70"/>
      <c r="AJ13" s="71"/>
      <c r="AK13" s="72"/>
      <c r="AL13" s="57"/>
      <c r="AM13" s="70"/>
      <c r="AN13" s="73">
        <v>-665.39999999999964</v>
      </c>
      <c r="AO13" s="73">
        <v>-199.61999999999989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4465.68</v>
      </c>
      <c r="F14" s="55">
        <v>25</v>
      </c>
      <c r="G14" s="56">
        <v>1310</v>
      </c>
      <c r="H14" s="54">
        <v>1300</v>
      </c>
      <c r="I14" s="54">
        <v>633</v>
      </c>
      <c r="J14" s="57"/>
      <c r="K14" s="54">
        <v>350</v>
      </c>
      <c r="L14" s="75"/>
      <c r="M14" s="54"/>
      <c r="N14" s="58">
        <v>1141.048</v>
      </c>
      <c r="O14" s="54">
        <v>750</v>
      </c>
      <c r="P14" s="54">
        <v>100</v>
      </c>
      <c r="Q14" s="59"/>
      <c r="R14" s="60">
        <v>40</v>
      </c>
      <c r="S14" s="61">
        <v>10298.061333333333</v>
      </c>
      <c r="T14" s="62"/>
      <c r="U14" s="63">
        <v>1698.3040000000001</v>
      </c>
      <c r="V14" s="53">
        <v>30</v>
      </c>
      <c r="W14" s="54">
        <v>750</v>
      </c>
      <c r="X14" s="54">
        <v>120</v>
      </c>
      <c r="Y14" s="64"/>
      <c r="Z14" s="64"/>
      <c r="AA14" s="65">
        <v>2598.3040000000001</v>
      </c>
      <c r="AB14" s="65">
        <v>7699.757333333333</v>
      </c>
      <c r="AC14" s="66"/>
      <c r="AD14" s="65">
        <v>7699.757333333333</v>
      </c>
      <c r="AE14" s="67">
        <v>4465.68</v>
      </c>
      <c r="AF14" s="51"/>
      <c r="AG14" s="68"/>
      <c r="AH14" s="69"/>
      <c r="AI14" s="70"/>
      <c r="AJ14" s="71"/>
      <c r="AK14" s="72"/>
      <c r="AL14" s="57"/>
      <c r="AM14" s="70"/>
      <c r="AN14" s="73">
        <v>-2534.3199999999997</v>
      </c>
      <c r="AO14" s="73">
        <v>-760.29599999999994</v>
      </c>
      <c r="AR14" s="73"/>
      <c r="AS14" s="73"/>
      <c r="AT14" s="74"/>
      <c r="AU14" s="73"/>
    </row>
    <row r="15" spans="1:47" ht="33" customHeight="1" x14ac:dyDescent="0.25">
      <c r="A15" s="26" t="s">
        <v>54</v>
      </c>
      <c r="B15" s="31"/>
      <c r="C15" s="87"/>
      <c r="D15" s="62"/>
      <c r="E15" s="88">
        <v>41263.440000000002</v>
      </c>
      <c r="F15" s="89"/>
      <c r="G15" s="90">
        <v>10195</v>
      </c>
      <c r="H15" s="90">
        <v>11720</v>
      </c>
      <c r="I15" s="90">
        <v>5726</v>
      </c>
      <c r="J15" s="90">
        <v>0</v>
      </c>
      <c r="K15" s="90">
        <v>2550</v>
      </c>
      <c r="L15" s="90">
        <v>1250</v>
      </c>
      <c r="M15" s="90">
        <v>1500</v>
      </c>
      <c r="N15" s="90">
        <v>7987.3359999999993</v>
      </c>
      <c r="O15" s="90">
        <v>5115</v>
      </c>
      <c r="P15" s="90">
        <v>500</v>
      </c>
      <c r="Q15" s="90">
        <v>0</v>
      </c>
      <c r="R15" s="90">
        <v>666</v>
      </c>
      <c r="S15" s="90">
        <v>93158.19266666667</v>
      </c>
      <c r="T15" s="90">
        <v>0</v>
      </c>
      <c r="U15" s="90">
        <v>11888.128000000001</v>
      </c>
      <c r="V15" s="90">
        <v>210</v>
      </c>
      <c r="W15" s="90">
        <v>5115</v>
      </c>
      <c r="X15" s="90">
        <v>663.08699999999999</v>
      </c>
      <c r="Y15" s="90">
        <v>0</v>
      </c>
      <c r="Z15" s="90">
        <v>0</v>
      </c>
      <c r="AA15" s="90">
        <v>17876.215</v>
      </c>
      <c r="AB15" s="90">
        <v>75281.977666666658</v>
      </c>
      <c r="AC15" s="90">
        <v>0</v>
      </c>
      <c r="AD15" s="90">
        <v>75281.977666666658</v>
      </c>
    </row>
    <row r="16" spans="1:47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 t="s">
        <v>55</v>
      </c>
      <c r="AA17" s="96"/>
      <c r="AB17" s="96"/>
      <c r="AC17" s="93"/>
      <c r="AD17" s="96"/>
    </row>
    <row r="18" spans="1:42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42" x14ac:dyDescent="0.25">
      <c r="B19" s="1"/>
      <c r="D19" s="6"/>
      <c r="H19" s="67"/>
      <c r="O19" s="6"/>
      <c r="S19" s="100"/>
      <c r="T19" s="100"/>
      <c r="X19" s="101"/>
      <c r="AA19" s="6"/>
    </row>
    <row r="20" spans="1:42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42" x14ac:dyDescent="0.25">
      <c r="B21" s="1"/>
      <c r="D21" s="6"/>
      <c r="O21" s="6"/>
      <c r="S21" s="104"/>
      <c r="T21" s="100"/>
      <c r="U21" s="103"/>
      <c r="AA21" s="6"/>
      <c r="AP21" s="67"/>
    </row>
    <row r="22" spans="1:42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F22" s="109"/>
      <c r="AH22" s="109"/>
      <c r="AJ22" s="109"/>
      <c r="AK22" s="109"/>
      <c r="AP22" s="114"/>
    </row>
    <row r="23" spans="1:42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N23" s="67"/>
      <c r="AP23" s="67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N26" s="67"/>
      <c r="AP26" s="67"/>
    </row>
    <row r="27" spans="1:42" s="1" customFormat="1" x14ac:dyDescent="0.25">
      <c r="E27" s="73"/>
      <c r="F27" s="98"/>
      <c r="L27" s="32"/>
      <c r="AF27" s="6"/>
      <c r="AG27" s="4"/>
      <c r="AH27" s="6"/>
      <c r="AI27" s="4"/>
      <c r="AJ27" s="6"/>
      <c r="AK27" s="6"/>
      <c r="AL27" s="4"/>
      <c r="AM27" s="4"/>
      <c r="AP27" s="67"/>
    </row>
    <row r="28" spans="1:42" x14ac:dyDescent="0.25">
      <c r="AP28" s="67"/>
    </row>
    <row r="29" spans="1:42" x14ac:dyDescent="0.25">
      <c r="W29" s="103"/>
      <c r="AP29" s="67"/>
    </row>
    <row r="30" spans="1:42" x14ac:dyDescent="0.25">
      <c r="W30" s="103"/>
      <c r="AP30" s="67"/>
    </row>
    <row r="31" spans="1:42" x14ac:dyDescent="0.25">
      <c r="A31" s="8"/>
      <c r="B31" s="8"/>
      <c r="O31" s="103"/>
      <c r="AP31" s="67"/>
    </row>
    <row r="32" spans="1:42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P32" s="67"/>
    </row>
    <row r="33" spans="1:45" x14ac:dyDescent="0.25">
      <c r="A33" s="8"/>
      <c r="B33" s="8"/>
      <c r="AP33" s="67"/>
    </row>
    <row r="34" spans="1:45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F34" s="6"/>
      <c r="AG34" s="4"/>
      <c r="AH34" s="6"/>
      <c r="AI34" s="4"/>
      <c r="AJ34" s="6"/>
      <c r="AK34" s="6"/>
      <c r="AL34" s="4"/>
      <c r="AM34" s="4"/>
      <c r="AP34" s="67"/>
    </row>
    <row r="35" spans="1:45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 t="s">
        <v>62</v>
      </c>
      <c r="AH38" s="6"/>
      <c r="AI38" s="4"/>
      <c r="AJ38" s="6"/>
      <c r="AK38" s="6"/>
      <c r="AL38" s="4"/>
      <c r="AM38" s="4"/>
      <c r="AN38" s="119"/>
      <c r="AO38" s="4"/>
      <c r="AP38" s="67"/>
      <c r="AQ38" s="4"/>
      <c r="AR38" s="4"/>
      <c r="AS38" s="4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120" t="s">
        <v>63</v>
      </c>
      <c r="AG39" s="4"/>
      <c r="AH39" s="6"/>
      <c r="AI39" s="4"/>
      <c r="AJ39" s="6"/>
      <c r="AK39" s="6"/>
      <c r="AL39" s="4"/>
      <c r="AM39" s="4"/>
      <c r="AN39" s="4"/>
      <c r="AO39" s="4"/>
      <c r="AP39" s="67"/>
      <c r="AQ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64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65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x14ac:dyDescent="0.25">
      <c r="AP42" s="67"/>
    </row>
    <row r="43" spans="1:45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6"/>
      <c r="AG43" s="4"/>
      <c r="AH43" s="6"/>
      <c r="AI43" s="4"/>
      <c r="AJ43" s="6"/>
      <c r="AK43" s="6"/>
      <c r="AL43" s="4"/>
      <c r="AM43" s="4"/>
      <c r="AN43" s="4"/>
      <c r="AO43" s="4"/>
      <c r="AP43" s="67"/>
      <c r="AQ43" s="4"/>
    </row>
    <row r="44" spans="1:45" x14ac:dyDescent="0.25">
      <c r="AP44" s="67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5" spans="2:42" x14ac:dyDescent="0.25">
      <c r="B55" s="103"/>
      <c r="E55" s="122"/>
      <c r="F55" s="122"/>
    </row>
    <row r="60" spans="2:42" x14ac:dyDescent="0.25">
      <c r="V60" s="123"/>
    </row>
    <row r="91" spans="1:43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G91" s="4"/>
      <c r="AI91" s="4"/>
      <c r="AL91" s="4"/>
      <c r="AM91" s="4"/>
      <c r="AN91" s="4"/>
      <c r="AO91" s="4"/>
      <c r="AP91" s="4"/>
      <c r="AQ91" s="4"/>
    </row>
    <row r="92" spans="1:43" x14ac:dyDescent="0.25">
      <c r="B92" s="124"/>
    </row>
    <row r="95" spans="1:43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G95" s="4"/>
      <c r="AI95" s="4"/>
      <c r="AL95" s="4"/>
      <c r="AM95" s="4"/>
      <c r="AN95" s="4"/>
      <c r="AO95" s="4"/>
      <c r="AP95" s="4"/>
      <c r="AQ95" s="4"/>
    </row>
    <row r="96" spans="1:43" x14ac:dyDescent="0.25">
      <c r="A96" s="51"/>
    </row>
  </sheetData>
  <mergeCells count="50">
    <mergeCell ref="Y6:Y7"/>
    <mergeCell ref="Z6:Z7"/>
    <mergeCell ref="A15:B15"/>
    <mergeCell ref="C18:E18"/>
    <mergeCell ref="N22:P22"/>
    <mergeCell ref="E55:F55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workbookViewId="0">
      <selection activeCell="R26" sqref="R26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101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1750</v>
      </c>
      <c r="D8" s="143">
        <v>5300</v>
      </c>
      <c r="E8" s="143">
        <v>3500</v>
      </c>
      <c r="F8" s="143">
        <v>2000</v>
      </c>
      <c r="G8" s="143"/>
      <c r="H8" s="143">
        <v>1700</v>
      </c>
      <c r="I8" s="143">
        <v>2500</v>
      </c>
      <c r="J8" s="143"/>
      <c r="K8" s="143"/>
      <c r="L8" s="143"/>
      <c r="M8" s="143"/>
      <c r="N8" s="143">
        <v>2000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3.5</v>
      </c>
      <c r="D9" s="146">
        <v>10</v>
      </c>
      <c r="E9" s="146">
        <v>7</v>
      </c>
      <c r="F9" s="146">
        <v>4</v>
      </c>
      <c r="G9" s="146"/>
      <c r="H9" s="146">
        <v>4</v>
      </c>
      <c r="I9" s="146">
        <v>5</v>
      </c>
      <c r="J9" s="146"/>
      <c r="K9" s="148"/>
      <c r="L9" s="146"/>
      <c r="M9" s="146"/>
      <c r="N9" s="146">
        <v>4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10972</v>
      </c>
      <c r="D10" s="152">
        <v>5167</v>
      </c>
      <c r="E10" s="152">
        <v>9905</v>
      </c>
      <c r="F10" s="152">
        <v>9484</v>
      </c>
      <c r="G10" s="154"/>
      <c r="H10" s="154">
        <v>14081</v>
      </c>
      <c r="I10" s="154">
        <v>8647</v>
      </c>
      <c r="J10" s="152"/>
      <c r="K10" s="152"/>
      <c r="L10" s="152"/>
      <c r="M10" s="152"/>
      <c r="N10" s="152">
        <v>11193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16608</v>
      </c>
      <c r="D12" s="141">
        <v>23215</v>
      </c>
      <c r="E12" s="141">
        <v>15630</v>
      </c>
      <c r="F12" s="141">
        <v>9620</v>
      </c>
      <c r="G12" s="160"/>
      <c r="H12" s="160">
        <v>2940</v>
      </c>
      <c r="I12" s="160">
        <v>16997</v>
      </c>
      <c r="J12" s="143"/>
      <c r="K12" s="141"/>
      <c r="L12" s="141"/>
      <c r="M12" s="141"/>
      <c r="N12" s="141">
        <v>10086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2868</v>
      </c>
      <c r="D13" s="141">
        <v>2710</v>
      </c>
      <c r="E13" s="141">
        <v>4345</v>
      </c>
      <c r="F13" s="141">
        <v>590</v>
      </c>
      <c r="G13" s="160"/>
      <c r="H13" s="160">
        <v>2880</v>
      </c>
      <c r="I13" s="160">
        <v>2040</v>
      </c>
      <c r="J13" s="143"/>
      <c r="K13" s="143"/>
      <c r="L13" s="141"/>
      <c r="M13" s="141"/>
      <c r="N13" s="141">
        <v>1180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/>
      <c r="D14" s="141">
        <v>1400</v>
      </c>
      <c r="E14" s="141"/>
      <c r="F14" s="141"/>
      <c r="G14" s="160"/>
      <c r="H14" s="160"/>
      <c r="I14" s="160">
        <v>1500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>
        <v>500</v>
      </c>
      <c r="F17" s="143"/>
      <c r="G17" s="161"/>
      <c r="H17" s="161"/>
      <c r="I17" s="161">
        <v>2000</v>
      </c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32198</v>
      </c>
      <c r="D18" s="164">
        <f>SUM(D10:D17)+D8</f>
        <v>37792</v>
      </c>
      <c r="E18" s="164">
        <f>SUM(E10:E17)+E8</f>
        <v>33880</v>
      </c>
      <c r="F18" s="164">
        <f>SUM(F10:F17)+F8</f>
        <v>21694</v>
      </c>
      <c r="G18" s="164">
        <f t="shared" ref="G18:N18" si="0">SUM(G10:G17)+G8</f>
        <v>0</v>
      </c>
      <c r="H18" s="164">
        <f t="shared" si="0"/>
        <v>21601</v>
      </c>
      <c r="I18" s="164">
        <f>SUM(I10:I17)+I8</f>
        <v>33684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24459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245</v>
      </c>
      <c r="D19" s="165">
        <f t="shared" ref="D19:N19" si="1">D9*70</f>
        <v>700</v>
      </c>
      <c r="E19" s="165">
        <f t="shared" si="1"/>
        <v>490</v>
      </c>
      <c r="F19" s="165">
        <f t="shared" si="1"/>
        <v>280</v>
      </c>
      <c r="G19" s="165">
        <f t="shared" si="1"/>
        <v>0</v>
      </c>
      <c r="H19" s="165">
        <f t="shared" si="1"/>
        <v>280</v>
      </c>
      <c r="I19" s="165">
        <f t="shared" si="1"/>
        <v>350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280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3511.04</v>
      </c>
      <c r="D20" s="165">
        <f t="shared" si="2"/>
        <v>1653.44</v>
      </c>
      <c r="E20" s="165">
        <f t="shared" si="2"/>
        <v>3169.6</v>
      </c>
      <c r="F20" s="165">
        <f t="shared" si="2"/>
        <v>3034.88</v>
      </c>
      <c r="G20" s="165">
        <f t="shared" si="2"/>
        <v>0</v>
      </c>
      <c r="H20" s="165">
        <f t="shared" si="2"/>
        <v>4505.92</v>
      </c>
      <c r="I20" s="165">
        <f t="shared" si="2"/>
        <v>2767.04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3581.76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1660.8000000000002</v>
      </c>
      <c r="D22" s="165">
        <f t="shared" si="4"/>
        <v>2321.5</v>
      </c>
      <c r="E22" s="165">
        <f t="shared" si="4"/>
        <v>1563</v>
      </c>
      <c r="F22" s="165">
        <f t="shared" si="4"/>
        <v>962</v>
      </c>
      <c r="G22" s="165">
        <f t="shared" si="4"/>
        <v>0</v>
      </c>
      <c r="H22" s="165">
        <f t="shared" si="4"/>
        <v>294</v>
      </c>
      <c r="I22" s="165">
        <f t="shared" si="4"/>
        <v>1699.7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1008.6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917.76</v>
      </c>
      <c r="D23" s="165">
        <f t="shared" si="5"/>
        <v>867.2</v>
      </c>
      <c r="E23" s="165">
        <f t="shared" si="5"/>
        <v>1390.4</v>
      </c>
      <c r="F23" s="165">
        <f t="shared" si="5"/>
        <v>188.8</v>
      </c>
      <c r="G23" s="165">
        <f t="shared" si="5"/>
        <v>0</v>
      </c>
      <c r="H23" s="165">
        <f t="shared" si="5"/>
        <v>921.6</v>
      </c>
      <c r="I23" s="165">
        <f t="shared" si="5"/>
        <v>652.80000000000007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377.6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0</v>
      </c>
      <c r="D24" s="165">
        <f t="shared" si="6"/>
        <v>224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240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225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900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6334.6</v>
      </c>
      <c r="D28" s="168">
        <f t="shared" si="9"/>
        <v>5766.14</v>
      </c>
      <c r="E28" s="168">
        <f t="shared" si="9"/>
        <v>6838</v>
      </c>
      <c r="F28" s="168">
        <f t="shared" si="9"/>
        <v>4465.68</v>
      </c>
      <c r="G28" s="168">
        <f t="shared" si="9"/>
        <v>0</v>
      </c>
      <c r="H28" s="168">
        <f t="shared" si="9"/>
        <v>6001.52</v>
      </c>
      <c r="I28" s="168">
        <f t="shared" si="9"/>
        <v>6609.54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5247.9600000000009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41263.440000000002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"/>
  <sheetViews>
    <sheetView workbookViewId="0">
      <selection activeCell="I24" sqref="I23:I24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102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900</v>
      </c>
      <c r="E8" s="54">
        <v>5142.0199999999995</v>
      </c>
      <c r="F8" s="55">
        <v>24</v>
      </c>
      <c r="G8" s="56">
        <v>1200</v>
      </c>
      <c r="H8" s="54">
        <v>3930.0000000000005</v>
      </c>
      <c r="I8" s="54">
        <v>352</v>
      </c>
      <c r="J8" s="57"/>
      <c r="K8" s="54">
        <v>250</v>
      </c>
      <c r="L8" s="6">
        <v>400</v>
      </c>
      <c r="M8" s="54">
        <v>1500</v>
      </c>
      <c r="N8" s="58">
        <v>1141.048</v>
      </c>
      <c r="O8" s="54">
        <v>720</v>
      </c>
      <c r="P8" s="54">
        <v>100</v>
      </c>
      <c r="Q8" s="59"/>
      <c r="R8" s="60">
        <v>130</v>
      </c>
      <c r="S8" s="61">
        <v>15695.83723076923</v>
      </c>
      <c r="T8" s="62"/>
      <c r="U8" s="63">
        <v>1698.3040000000001</v>
      </c>
      <c r="V8" s="53">
        <v>30</v>
      </c>
      <c r="W8" s="54">
        <v>720</v>
      </c>
      <c r="X8" s="54">
        <v>160</v>
      </c>
      <c r="Y8" s="64"/>
      <c r="Z8" s="64"/>
      <c r="AA8" s="65">
        <v>2608.3040000000001</v>
      </c>
      <c r="AB8" s="65">
        <v>13087.53323076923</v>
      </c>
      <c r="AC8" s="66"/>
      <c r="AD8" s="65">
        <v>13087.53323076923</v>
      </c>
      <c r="AE8" s="67">
        <v>5142.0199999999995</v>
      </c>
      <c r="AF8" s="51"/>
      <c r="AG8" s="68"/>
      <c r="AH8" s="69"/>
      <c r="AI8" s="70"/>
      <c r="AJ8" s="71"/>
      <c r="AK8" s="72"/>
      <c r="AL8" s="57"/>
      <c r="AM8" s="70"/>
      <c r="AN8" s="73">
        <v>-1857.9800000000005</v>
      </c>
      <c r="AO8" s="73">
        <v>-557.39400000000012</v>
      </c>
      <c r="AR8" s="73">
        <v>15765.067999999999</v>
      </c>
      <c r="AS8" s="73">
        <v>-69.230769230769511</v>
      </c>
      <c r="AT8" s="74">
        <v>2608.3040000000001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8711.06</v>
      </c>
      <c r="F9" s="55">
        <v>27.5</v>
      </c>
      <c r="G9" s="56">
        <v>2265</v>
      </c>
      <c r="H9" s="54">
        <v>0</v>
      </c>
      <c r="I9" s="54">
        <v>1032</v>
      </c>
      <c r="J9" s="57"/>
      <c r="K9" s="54">
        <v>400</v>
      </c>
      <c r="L9" s="75">
        <v>850</v>
      </c>
      <c r="M9" s="54"/>
      <c r="N9" s="58">
        <v>1141.048</v>
      </c>
      <c r="O9" s="54">
        <v>825</v>
      </c>
      <c r="P9" s="54">
        <v>100</v>
      </c>
      <c r="Q9" s="59">
        <v>513.31799999999987</v>
      </c>
      <c r="R9" s="54">
        <v>159</v>
      </c>
      <c r="S9" s="61">
        <v>16948.349076923078</v>
      </c>
      <c r="T9" s="62"/>
      <c r="U9" s="63">
        <v>1698.3040000000001</v>
      </c>
      <c r="V9" s="53">
        <v>30</v>
      </c>
      <c r="W9" s="54">
        <v>735</v>
      </c>
      <c r="X9" s="54">
        <v>122.745</v>
      </c>
      <c r="Y9" s="64"/>
      <c r="Z9" s="64"/>
      <c r="AA9" s="65">
        <v>2586.049</v>
      </c>
      <c r="AB9" s="65">
        <v>14362.300076923078</v>
      </c>
      <c r="AC9" s="66"/>
      <c r="AD9" s="65">
        <v>14362.300076923078</v>
      </c>
      <c r="AE9" s="67">
        <v>8711.06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1711.0599999999995</v>
      </c>
      <c r="AO9" s="73">
        <v>513.31799999999987</v>
      </c>
      <c r="AP9" s="1"/>
      <c r="AQ9" s="73"/>
      <c r="AR9" s="73">
        <v>17027.675999999999</v>
      </c>
      <c r="AS9" s="73">
        <v>-79.326923076921958</v>
      </c>
      <c r="AT9" s="74">
        <v>2586.049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6621.0000000000009</v>
      </c>
      <c r="F10" s="55">
        <v>24</v>
      </c>
      <c r="G10" s="56">
        <v>100</v>
      </c>
      <c r="H10" s="54"/>
      <c r="I10" s="54">
        <v>961</v>
      </c>
      <c r="J10" s="57"/>
      <c r="K10" s="54">
        <v>100</v>
      </c>
      <c r="L10" s="75"/>
      <c r="M10" s="54"/>
      <c r="N10" s="58">
        <v>1141.048</v>
      </c>
      <c r="O10" s="54">
        <v>720</v>
      </c>
      <c r="P10" s="54">
        <v>100</v>
      </c>
      <c r="Q10" s="59"/>
      <c r="R10" s="60">
        <v>116</v>
      </c>
      <c r="S10" s="61">
        <v>10320.586461538462</v>
      </c>
      <c r="T10" s="62"/>
      <c r="U10" s="63">
        <v>1698.3040000000001</v>
      </c>
      <c r="V10" s="53">
        <v>30</v>
      </c>
      <c r="W10" s="54">
        <v>720</v>
      </c>
      <c r="X10" s="54">
        <v>148.20699999999999</v>
      </c>
      <c r="Y10" s="64"/>
      <c r="Z10" s="64"/>
      <c r="AA10" s="65">
        <v>2596.511</v>
      </c>
      <c r="AB10" s="65">
        <v>7724.0754615384612</v>
      </c>
      <c r="AC10" s="66"/>
      <c r="AD10" s="65">
        <v>7724.0754615384612</v>
      </c>
      <c r="AE10" s="67">
        <v>6621.0000000000009</v>
      </c>
      <c r="AF10" s="51"/>
      <c r="AG10" s="68"/>
      <c r="AH10" s="69"/>
      <c r="AI10" s="70"/>
      <c r="AJ10" s="71"/>
      <c r="AK10" s="72"/>
      <c r="AL10" s="57"/>
      <c r="AM10" s="70"/>
      <c r="AN10" s="73">
        <v>-378.99999999999909</v>
      </c>
      <c r="AO10" s="73">
        <v>-113.69999999999972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7494</v>
      </c>
      <c r="F11" s="55">
        <v>26.5</v>
      </c>
      <c r="G11" s="56">
        <v>1430</v>
      </c>
      <c r="H11" s="54">
        <v>200</v>
      </c>
      <c r="I11" s="54">
        <v>809</v>
      </c>
      <c r="J11" s="57"/>
      <c r="K11" s="54">
        <v>450</v>
      </c>
      <c r="L11" s="75">
        <v>425</v>
      </c>
      <c r="M11" s="54"/>
      <c r="N11" s="58">
        <v>1141.048</v>
      </c>
      <c r="O11" s="54">
        <v>795</v>
      </c>
      <c r="P11" s="54"/>
      <c r="Q11" s="59">
        <v>148.19999999999999</v>
      </c>
      <c r="R11" s="60">
        <v>188</v>
      </c>
      <c r="S11" s="61">
        <v>13793.709538461539</v>
      </c>
      <c r="T11" s="62"/>
      <c r="U11" s="63">
        <v>1698.3040000000001</v>
      </c>
      <c r="V11" s="53">
        <v>30</v>
      </c>
      <c r="W11" s="54">
        <v>705</v>
      </c>
      <c r="X11" s="54"/>
      <c r="Y11" s="64"/>
      <c r="Z11" s="64"/>
      <c r="AA11" s="65">
        <v>2433.3040000000001</v>
      </c>
      <c r="AB11" s="65">
        <v>11360.405538461539</v>
      </c>
      <c r="AC11" s="66"/>
      <c r="AD11" s="65">
        <v>11360.405538461539</v>
      </c>
      <c r="AE11" s="67">
        <v>7494</v>
      </c>
      <c r="AF11" s="51"/>
      <c r="AG11" s="68"/>
      <c r="AH11" s="69"/>
      <c r="AI11" s="70"/>
      <c r="AJ11" s="71"/>
      <c r="AK11" s="72"/>
      <c r="AL11" s="57"/>
      <c r="AM11" s="70"/>
      <c r="AN11" s="73">
        <v>494</v>
      </c>
      <c r="AO11" s="73">
        <v>148.19999999999999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6863.08</v>
      </c>
      <c r="F12" s="55">
        <v>23</v>
      </c>
      <c r="G12" s="56">
        <v>3005</v>
      </c>
      <c r="H12" s="54">
        <v>900</v>
      </c>
      <c r="I12" s="54">
        <v>801</v>
      </c>
      <c r="J12" s="57"/>
      <c r="K12" s="54">
        <v>350</v>
      </c>
      <c r="L12" s="75"/>
      <c r="M12" s="54"/>
      <c r="N12" s="58">
        <v>1141.048</v>
      </c>
      <c r="O12" s="54">
        <v>690</v>
      </c>
      <c r="P12" s="54"/>
      <c r="Q12" s="59"/>
      <c r="R12" s="60">
        <v>246</v>
      </c>
      <c r="S12" s="61">
        <v>14703.820307692309</v>
      </c>
      <c r="T12" s="62"/>
      <c r="U12" s="63">
        <v>1698.3040000000001</v>
      </c>
      <c r="V12" s="53">
        <v>30</v>
      </c>
      <c r="W12" s="54">
        <v>690</v>
      </c>
      <c r="X12" s="54"/>
      <c r="Y12" s="64"/>
      <c r="Z12" s="64"/>
      <c r="AA12" s="65">
        <v>2418.3040000000001</v>
      </c>
      <c r="AB12" s="65">
        <v>12285.516307692309</v>
      </c>
      <c r="AC12" s="66"/>
      <c r="AD12" s="65">
        <v>12285.516307692309</v>
      </c>
      <c r="AE12" s="67">
        <v>6863.08</v>
      </c>
      <c r="AF12" s="51"/>
      <c r="AG12" s="68"/>
      <c r="AH12" s="69"/>
      <c r="AI12" s="70"/>
      <c r="AJ12" s="71"/>
      <c r="AK12" s="72"/>
      <c r="AL12" s="57"/>
      <c r="AM12" s="70"/>
      <c r="AN12" s="73">
        <v>-136.92000000000007</v>
      </c>
      <c r="AO12" s="73">
        <v>-41.076000000000022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9952.58</v>
      </c>
      <c r="F13" s="55">
        <v>26</v>
      </c>
      <c r="G13" s="56">
        <v>1205</v>
      </c>
      <c r="H13" s="54">
        <v>0</v>
      </c>
      <c r="I13" s="54">
        <v>1155</v>
      </c>
      <c r="J13" s="57"/>
      <c r="K13" s="54">
        <v>400</v>
      </c>
      <c r="L13" s="75">
        <v>200</v>
      </c>
      <c r="M13" s="54"/>
      <c r="N13" s="58">
        <v>1141.048</v>
      </c>
      <c r="O13" s="54">
        <v>780</v>
      </c>
      <c r="P13" s="54">
        <v>100</v>
      </c>
      <c r="Q13" s="59">
        <v>885.774</v>
      </c>
      <c r="R13" s="60"/>
      <c r="S13" s="61">
        <v>16419.402000000002</v>
      </c>
      <c r="T13" s="62"/>
      <c r="U13" s="63">
        <v>1698.3040000000001</v>
      </c>
      <c r="V13" s="53">
        <v>30</v>
      </c>
      <c r="W13" s="54">
        <v>690</v>
      </c>
      <c r="X13" s="54">
        <v>129.672</v>
      </c>
      <c r="Y13" s="64"/>
      <c r="Z13" s="64"/>
      <c r="AA13" s="65">
        <v>2547.9760000000001</v>
      </c>
      <c r="AB13" s="65">
        <v>13871.426000000001</v>
      </c>
      <c r="AC13" s="66"/>
      <c r="AD13" s="65">
        <v>13871.426000000001</v>
      </c>
      <c r="AE13" s="67">
        <v>9952.58</v>
      </c>
      <c r="AF13" s="51"/>
      <c r="AG13" s="68"/>
      <c r="AH13" s="69"/>
      <c r="AI13" s="70"/>
      <c r="AJ13" s="71"/>
      <c r="AK13" s="72"/>
      <c r="AL13" s="57"/>
      <c r="AM13" s="70"/>
      <c r="AN13" s="73">
        <v>2952.58</v>
      </c>
      <c r="AO13" s="73">
        <v>885.774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5369.82</v>
      </c>
      <c r="F14" s="55">
        <v>23.5</v>
      </c>
      <c r="G14" s="56">
        <v>1095</v>
      </c>
      <c r="H14" s="54">
        <v>350</v>
      </c>
      <c r="I14" s="54">
        <v>671</v>
      </c>
      <c r="J14" s="57"/>
      <c r="K14" s="54">
        <v>500</v>
      </c>
      <c r="L14" s="75"/>
      <c r="M14" s="54"/>
      <c r="N14" s="58">
        <v>1141.048</v>
      </c>
      <c r="O14" s="54">
        <v>705</v>
      </c>
      <c r="P14" s="54">
        <v>100</v>
      </c>
      <c r="Q14" s="59"/>
      <c r="R14" s="60"/>
      <c r="S14" s="61">
        <v>10112.637230769229</v>
      </c>
      <c r="T14" s="62"/>
      <c r="U14" s="63">
        <v>1698.3040000000001</v>
      </c>
      <c r="V14" s="53">
        <v>30</v>
      </c>
      <c r="W14" s="54">
        <v>705</v>
      </c>
      <c r="X14" s="54">
        <v>120</v>
      </c>
      <c r="Y14" s="64"/>
      <c r="Z14" s="64"/>
      <c r="AA14" s="65">
        <v>2553.3040000000001</v>
      </c>
      <c r="AB14" s="65">
        <v>7559.333230769229</v>
      </c>
      <c r="AC14" s="66"/>
      <c r="AD14" s="65">
        <v>7559.333230769229</v>
      </c>
      <c r="AE14" s="67">
        <v>5369.82</v>
      </c>
      <c r="AF14" s="51"/>
      <c r="AG14" s="68"/>
      <c r="AH14" s="69"/>
      <c r="AI14" s="70"/>
      <c r="AJ14" s="71"/>
      <c r="AK14" s="72"/>
      <c r="AL14" s="57"/>
      <c r="AM14" s="70"/>
      <c r="AN14" s="73">
        <v>-1630.1800000000003</v>
      </c>
      <c r="AO14" s="73">
        <v>-489.05400000000009</v>
      </c>
      <c r="AR14" s="73"/>
      <c r="AS14" s="73"/>
      <c r="AT14" s="74"/>
      <c r="AU14" s="73"/>
    </row>
    <row r="15" spans="1:47" ht="33" customHeight="1" x14ac:dyDescent="0.25">
      <c r="A15" s="26" t="s">
        <v>54</v>
      </c>
      <c r="B15" s="31"/>
      <c r="C15" s="87"/>
      <c r="D15" s="62"/>
      <c r="E15" s="88">
        <v>50153.56</v>
      </c>
      <c r="F15" s="89"/>
      <c r="G15" s="90">
        <v>10300</v>
      </c>
      <c r="H15" s="90">
        <v>5380</v>
      </c>
      <c r="I15" s="90">
        <v>5781</v>
      </c>
      <c r="J15" s="90">
        <v>0</v>
      </c>
      <c r="K15" s="90">
        <v>2450</v>
      </c>
      <c r="L15" s="90">
        <v>1875</v>
      </c>
      <c r="M15" s="90">
        <v>1500</v>
      </c>
      <c r="N15" s="90">
        <v>7987.3359999999993</v>
      </c>
      <c r="O15" s="90">
        <v>5235</v>
      </c>
      <c r="P15" s="90">
        <v>500</v>
      </c>
      <c r="Q15" s="90">
        <v>1547.2919999999999</v>
      </c>
      <c r="R15" s="90">
        <v>839</v>
      </c>
      <c r="S15" s="90">
        <v>97994.341846153839</v>
      </c>
      <c r="T15" s="90">
        <v>0</v>
      </c>
      <c r="U15" s="90">
        <v>11888.128000000001</v>
      </c>
      <c r="V15" s="90">
        <v>210</v>
      </c>
      <c r="W15" s="90">
        <v>4965</v>
      </c>
      <c r="X15" s="90">
        <v>680.62400000000002</v>
      </c>
      <c r="Y15" s="90">
        <v>0</v>
      </c>
      <c r="Z15" s="90">
        <v>0</v>
      </c>
      <c r="AA15" s="90">
        <v>17743.752</v>
      </c>
      <c r="AB15" s="90">
        <v>80250.589846153845</v>
      </c>
      <c r="AC15" s="90">
        <v>0</v>
      </c>
      <c r="AD15" s="90">
        <v>80250.589846153845</v>
      </c>
    </row>
    <row r="16" spans="1:47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 t="s">
        <v>55</v>
      </c>
      <c r="AA17" s="96"/>
      <c r="AB17" s="96"/>
      <c r="AC17" s="93"/>
      <c r="AD17" s="96"/>
    </row>
    <row r="18" spans="1:42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42" x14ac:dyDescent="0.25">
      <c r="B19" s="1"/>
      <c r="D19" s="6"/>
      <c r="H19" s="67"/>
      <c r="O19" s="6"/>
      <c r="S19" s="100"/>
      <c r="T19" s="100"/>
      <c r="X19" s="101"/>
      <c r="AA19" s="6"/>
    </row>
    <row r="20" spans="1:42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42" x14ac:dyDescent="0.25">
      <c r="B21" s="1"/>
      <c r="D21" s="6"/>
      <c r="O21" s="6"/>
      <c r="S21" s="104"/>
      <c r="T21" s="100"/>
      <c r="U21" s="103"/>
      <c r="AA21" s="6"/>
      <c r="AP21" s="67"/>
    </row>
    <row r="22" spans="1:42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F22" s="109"/>
      <c r="AH22" s="109"/>
      <c r="AJ22" s="109"/>
      <c r="AK22" s="109"/>
      <c r="AP22" s="114"/>
    </row>
    <row r="23" spans="1:42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N23" s="67"/>
      <c r="AP23" s="67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N26" s="67"/>
      <c r="AP26" s="67"/>
    </row>
    <row r="27" spans="1:42" s="1" customFormat="1" x14ac:dyDescent="0.25">
      <c r="E27" s="73"/>
      <c r="F27" s="98"/>
      <c r="L27" s="32"/>
      <c r="AF27" s="6"/>
      <c r="AG27" s="4"/>
      <c r="AH27" s="6"/>
      <c r="AI27" s="4"/>
      <c r="AJ27" s="6"/>
      <c r="AK27" s="6"/>
      <c r="AL27" s="4"/>
      <c r="AM27" s="4"/>
      <c r="AP27" s="67"/>
    </row>
    <row r="28" spans="1:42" x14ac:dyDescent="0.25">
      <c r="AP28" s="67"/>
    </row>
    <row r="29" spans="1:42" x14ac:dyDescent="0.25">
      <c r="W29" s="103"/>
      <c r="AP29" s="67"/>
    </row>
    <row r="30" spans="1:42" x14ac:dyDescent="0.25">
      <c r="W30" s="103"/>
      <c r="AP30" s="67"/>
    </row>
    <row r="31" spans="1:42" x14ac:dyDescent="0.25">
      <c r="A31" s="8"/>
      <c r="B31" s="8"/>
      <c r="O31" s="103"/>
      <c r="AP31" s="67"/>
    </row>
    <row r="32" spans="1:42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P32" s="67"/>
    </row>
    <row r="33" spans="1:45" x14ac:dyDescent="0.25">
      <c r="A33" s="8"/>
      <c r="B33" s="8"/>
      <c r="AP33" s="67"/>
    </row>
    <row r="34" spans="1:45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F34" s="6"/>
      <c r="AG34" s="4"/>
      <c r="AH34" s="6"/>
      <c r="AI34" s="4"/>
      <c r="AJ34" s="6"/>
      <c r="AK34" s="6"/>
      <c r="AL34" s="4"/>
      <c r="AM34" s="4"/>
      <c r="AP34" s="67"/>
    </row>
    <row r="35" spans="1:45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 t="s">
        <v>62</v>
      </c>
      <c r="AH38" s="6"/>
      <c r="AI38" s="4"/>
      <c r="AJ38" s="6"/>
      <c r="AK38" s="6"/>
      <c r="AL38" s="4"/>
      <c r="AM38" s="4"/>
      <c r="AN38" s="119"/>
      <c r="AO38" s="4"/>
      <c r="AP38" s="67"/>
      <c r="AQ38" s="4"/>
      <c r="AR38" s="4"/>
      <c r="AS38" s="4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120" t="s">
        <v>63</v>
      </c>
      <c r="AG39" s="4"/>
      <c r="AH39" s="6"/>
      <c r="AI39" s="4"/>
      <c r="AJ39" s="6"/>
      <c r="AK39" s="6"/>
      <c r="AL39" s="4"/>
      <c r="AM39" s="4"/>
      <c r="AN39" s="4"/>
      <c r="AO39" s="4"/>
      <c r="AP39" s="67"/>
      <c r="AQ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64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65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x14ac:dyDescent="0.25">
      <c r="AP42" s="67"/>
    </row>
    <row r="43" spans="1:45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6"/>
      <c r="AG43" s="4"/>
      <c r="AH43" s="6"/>
      <c r="AI43" s="4"/>
      <c r="AJ43" s="6"/>
      <c r="AK43" s="6"/>
      <c r="AL43" s="4"/>
      <c r="AM43" s="4"/>
      <c r="AN43" s="4"/>
      <c r="AO43" s="4"/>
      <c r="AP43" s="67"/>
      <c r="AQ43" s="4"/>
    </row>
    <row r="44" spans="1:45" x14ac:dyDescent="0.25">
      <c r="AP44" s="67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5" spans="2:42" x14ac:dyDescent="0.25">
      <c r="B55" s="103"/>
      <c r="E55" s="122"/>
      <c r="F55" s="122"/>
    </row>
    <row r="60" spans="2:42" x14ac:dyDescent="0.25">
      <c r="V60" s="123"/>
    </row>
    <row r="91" spans="1:43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G91" s="4"/>
      <c r="AI91" s="4"/>
      <c r="AL91" s="4"/>
      <c r="AM91" s="4"/>
      <c r="AN91" s="4"/>
      <c r="AO91" s="4"/>
      <c r="AP91" s="4"/>
      <c r="AQ91" s="4"/>
    </row>
    <row r="92" spans="1:43" x14ac:dyDescent="0.25">
      <c r="B92" s="124"/>
    </row>
    <row r="95" spans="1:43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G95" s="4"/>
      <c r="AI95" s="4"/>
      <c r="AL95" s="4"/>
      <c r="AM95" s="4"/>
      <c r="AN95" s="4"/>
      <c r="AO95" s="4"/>
      <c r="AP95" s="4"/>
      <c r="AQ95" s="4"/>
    </row>
    <row r="96" spans="1:43" x14ac:dyDescent="0.25">
      <c r="A96" s="51"/>
    </row>
  </sheetData>
  <mergeCells count="50">
    <mergeCell ref="Y6:Y7"/>
    <mergeCell ref="Z6:Z7"/>
    <mergeCell ref="A15:B15"/>
    <mergeCell ref="C18:E18"/>
    <mergeCell ref="N22:P22"/>
    <mergeCell ref="E55:F55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workbookViewId="0">
      <selection activeCell="S26" sqref="S26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103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4550</v>
      </c>
      <c r="D8" s="143">
        <v>9800</v>
      </c>
      <c r="E8" s="143">
        <v>7300</v>
      </c>
      <c r="F8" s="143">
        <v>1500</v>
      </c>
      <c r="G8" s="143"/>
      <c r="H8" s="143">
        <v>3850</v>
      </c>
      <c r="I8" s="143">
        <v>3500</v>
      </c>
      <c r="J8" s="143"/>
      <c r="K8" s="143"/>
      <c r="L8" s="143"/>
      <c r="M8" s="143"/>
      <c r="N8" s="143">
        <v>6900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6.8</v>
      </c>
      <c r="D9" s="146">
        <v>16.5</v>
      </c>
      <c r="E9" s="146">
        <v>13.2</v>
      </c>
      <c r="F9" s="146">
        <v>3</v>
      </c>
      <c r="G9" s="146"/>
      <c r="H9" s="146">
        <v>8</v>
      </c>
      <c r="I9" s="146">
        <v>9</v>
      </c>
      <c r="J9" s="146"/>
      <c r="K9" s="148"/>
      <c r="L9" s="146"/>
      <c r="M9" s="146"/>
      <c r="N9" s="146">
        <v>11.2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13020</v>
      </c>
      <c r="D10" s="152">
        <v>3451</v>
      </c>
      <c r="E10" s="152">
        <v>12566</v>
      </c>
      <c r="F10" s="152">
        <v>14131</v>
      </c>
      <c r="G10" s="154"/>
      <c r="H10" s="154">
        <v>14367</v>
      </c>
      <c r="I10" s="154">
        <v>12478</v>
      </c>
      <c r="J10" s="152"/>
      <c r="K10" s="152"/>
      <c r="L10" s="152"/>
      <c r="M10" s="152"/>
      <c r="N10" s="152">
        <v>10670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32625</v>
      </c>
      <c r="D12" s="141">
        <v>22555</v>
      </c>
      <c r="E12" s="141">
        <v>19845</v>
      </c>
      <c r="F12" s="141">
        <v>4075</v>
      </c>
      <c r="G12" s="160"/>
      <c r="H12" s="160">
        <v>4546</v>
      </c>
      <c r="I12" s="160">
        <v>13278</v>
      </c>
      <c r="J12" s="143"/>
      <c r="K12" s="141"/>
      <c r="L12" s="141"/>
      <c r="M12" s="141"/>
      <c r="N12" s="141">
        <v>20460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6399</v>
      </c>
      <c r="D13" s="141">
        <v>1960</v>
      </c>
      <c r="E13" s="141">
        <v>5567</v>
      </c>
      <c r="F13" s="141">
        <v>720</v>
      </c>
      <c r="G13" s="160"/>
      <c r="H13" s="160">
        <v>3153</v>
      </c>
      <c r="I13" s="160">
        <v>2501</v>
      </c>
      <c r="J13" s="143"/>
      <c r="K13" s="143"/>
      <c r="L13" s="141"/>
      <c r="M13" s="141"/>
      <c r="N13" s="141">
        <v>3905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/>
      <c r="D14" s="141"/>
      <c r="E14" s="141"/>
      <c r="F14" s="141"/>
      <c r="G14" s="160"/>
      <c r="H14" s="160"/>
      <c r="I14" s="160">
        <v>700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56594</v>
      </c>
      <c r="D18" s="164">
        <f>SUM(D10:D17)+D8</f>
        <v>37766</v>
      </c>
      <c r="E18" s="164">
        <f>SUM(E10:E17)+E8</f>
        <v>45278</v>
      </c>
      <c r="F18" s="164">
        <f>SUM(F10:F17)+F8</f>
        <v>20426</v>
      </c>
      <c r="G18" s="164">
        <f t="shared" ref="G18:N18" si="0">SUM(G10:G17)+G8</f>
        <v>0</v>
      </c>
      <c r="H18" s="164">
        <f t="shared" si="0"/>
        <v>25916</v>
      </c>
      <c r="I18" s="164">
        <f>SUM(I10:I17)+I8</f>
        <v>32457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41935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476</v>
      </c>
      <c r="D19" s="165">
        <f t="shared" ref="D19:N19" si="1">D9*70</f>
        <v>1155</v>
      </c>
      <c r="E19" s="165">
        <f t="shared" si="1"/>
        <v>924</v>
      </c>
      <c r="F19" s="165">
        <f t="shared" si="1"/>
        <v>210</v>
      </c>
      <c r="G19" s="165">
        <f t="shared" si="1"/>
        <v>0</v>
      </c>
      <c r="H19" s="165">
        <f t="shared" si="1"/>
        <v>560</v>
      </c>
      <c r="I19" s="165">
        <f t="shared" si="1"/>
        <v>630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784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4166.3999999999996</v>
      </c>
      <c r="D20" s="165">
        <f t="shared" si="2"/>
        <v>1104.32</v>
      </c>
      <c r="E20" s="165">
        <f t="shared" si="2"/>
        <v>4021.12</v>
      </c>
      <c r="F20" s="165">
        <f t="shared" si="2"/>
        <v>4521.92</v>
      </c>
      <c r="G20" s="165">
        <f t="shared" si="2"/>
        <v>0</v>
      </c>
      <c r="H20" s="165">
        <f t="shared" si="2"/>
        <v>4597.4400000000005</v>
      </c>
      <c r="I20" s="165">
        <f t="shared" si="2"/>
        <v>3992.96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3414.4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3262.5</v>
      </c>
      <c r="D22" s="165">
        <f t="shared" si="4"/>
        <v>2255.5</v>
      </c>
      <c r="E22" s="165">
        <f t="shared" si="4"/>
        <v>1984.5</v>
      </c>
      <c r="F22" s="165">
        <f t="shared" si="4"/>
        <v>407.5</v>
      </c>
      <c r="G22" s="165">
        <f t="shared" si="4"/>
        <v>0</v>
      </c>
      <c r="H22" s="165">
        <f t="shared" si="4"/>
        <v>454.6</v>
      </c>
      <c r="I22" s="165">
        <f t="shared" si="4"/>
        <v>1327.8000000000002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2046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2047.68</v>
      </c>
      <c r="D23" s="165">
        <f t="shared" si="5"/>
        <v>627.20000000000005</v>
      </c>
      <c r="E23" s="165">
        <f t="shared" si="5"/>
        <v>1781.44</v>
      </c>
      <c r="F23" s="165">
        <f t="shared" si="5"/>
        <v>230.4</v>
      </c>
      <c r="G23" s="165">
        <f t="shared" si="5"/>
        <v>0</v>
      </c>
      <c r="H23" s="165">
        <f t="shared" si="5"/>
        <v>1008.96</v>
      </c>
      <c r="I23" s="165">
        <f t="shared" si="5"/>
        <v>800.32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1249.6000000000001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0</v>
      </c>
      <c r="D24" s="165">
        <f t="shared" si="6"/>
        <v>0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112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9952.58</v>
      </c>
      <c r="D28" s="168">
        <f t="shared" si="9"/>
        <v>5142.0199999999995</v>
      </c>
      <c r="E28" s="168">
        <f t="shared" si="9"/>
        <v>8711.06</v>
      </c>
      <c r="F28" s="168">
        <f t="shared" si="9"/>
        <v>5369.82</v>
      </c>
      <c r="G28" s="168">
        <f t="shared" si="9"/>
        <v>0</v>
      </c>
      <c r="H28" s="168">
        <f t="shared" si="9"/>
        <v>6621.0000000000009</v>
      </c>
      <c r="I28" s="168">
        <f t="shared" si="9"/>
        <v>6863.08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7494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50153.56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"/>
  <sheetViews>
    <sheetView workbookViewId="0">
      <selection activeCell="K23" sqref="K23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104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90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1000</v>
      </c>
      <c r="E8" s="54">
        <v>2329.6999999999998</v>
      </c>
      <c r="F8" s="55">
        <v>26</v>
      </c>
      <c r="G8" s="56">
        <v>950</v>
      </c>
      <c r="H8" s="54">
        <v>9660</v>
      </c>
      <c r="I8" s="54">
        <v>254</v>
      </c>
      <c r="J8" s="57"/>
      <c r="K8" s="54">
        <v>400</v>
      </c>
      <c r="L8" s="6">
        <v>800</v>
      </c>
      <c r="M8" s="54">
        <v>1500</v>
      </c>
      <c r="N8" s="58">
        <v>1141.048</v>
      </c>
      <c r="O8" s="54">
        <v>780</v>
      </c>
      <c r="P8" s="54">
        <v>100</v>
      </c>
      <c r="Q8" s="59"/>
      <c r="R8" s="60">
        <v>40</v>
      </c>
      <c r="S8" s="61">
        <v>18994.748</v>
      </c>
      <c r="T8" s="62"/>
      <c r="U8" s="63">
        <v>1698.3040000000001</v>
      </c>
      <c r="V8" s="53">
        <v>30</v>
      </c>
      <c r="W8" s="54">
        <v>780</v>
      </c>
      <c r="X8" s="54">
        <v>202</v>
      </c>
      <c r="Y8" s="64"/>
      <c r="Z8" s="64"/>
      <c r="AA8" s="65">
        <v>2710.3040000000001</v>
      </c>
      <c r="AB8" s="65">
        <v>16284.444</v>
      </c>
      <c r="AC8" s="66"/>
      <c r="AD8" s="65">
        <v>16284.444</v>
      </c>
      <c r="AE8" s="67">
        <v>2329.6999999999998</v>
      </c>
      <c r="AF8" s="51"/>
      <c r="AG8" s="68"/>
      <c r="AH8" s="69"/>
      <c r="AI8" s="70"/>
      <c r="AJ8" s="71"/>
      <c r="AK8" s="72"/>
      <c r="AL8" s="57"/>
      <c r="AM8" s="70"/>
      <c r="AN8" s="73">
        <v>-4670.3</v>
      </c>
      <c r="AO8" s="73">
        <v>-1401.09</v>
      </c>
      <c r="AR8" s="73">
        <v>19038.081333333335</v>
      </c>
      <c r="AS8" s="73">
        <v>-43.333333333335759</v>
      </c>
      <c r="AT8" s="74">
        <v>2710.3040000000001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7164.7</v>
      </c>
      <c r="F9" s="55">
        <v>26.5</v>
      </c>
      <c r="G9" s="56">
        <v>2255</v>
      </c>
      <c r="H9" s="54">
        <v>400</v>
      </c>
      <c r="I9" s="54">
        <v>1078</v>
      </c>
      <c r="J9" s="57"/>
      <c r="K9" s="54">
        <v>400</v>
      </c>
      <c r="L9" s="75">
        <v>1325</v>
      </c>
      <c r="M9" s="54"/>
      <c r="N9" s="58">
        <v>1141.048</v>
      </c>
      <c r="O9" s="54">
        <v>795</v>
      </c>
      <c r="P9" s="54">
        <v>100</v>
      </c>
      <c r="Q9" s="59">
        <v>49.409999999999947</v>
      </c>
      <c r="R9" s="54">
        <v>144</v>
      </c>
      <c r="S9" s="61">
        <v>15806.157999999999</v>
      </c>
      <c r="T9" s="62"/>
      <c r="U9" s="63">
        <v>1698.3040000000001</v>
      </c>
      <c r="V9" s="53">
        <v>30</v>
      </c>
      <c r="W9" s="54">
        <v>795</v>
      </c>
      <c r="X9" s="54">
        <v>124.587</v>
      </c>
      <c r="Y9" s="64"/>
      <c r="Z9" s="64"/>
      <c r="AA9" s="65">
        <v>2647.8910000000001</v>
      </c>
      <c r="AB9" s="65">
        <v>13158.267</v>
      </c>
      <c r="AC9" s="66"/>
      <c r="AD9" s="65">
        <v>13158.267</v>
      </c>
      <c r="AE9" s="67">
        <v>7164.7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164.69999999999982</v>
      </c>
      <c r="AO9" s="73">
        <v>49.409999999999947</v>
      </c>
      <c r="AP9" s="1"/>
      <c r="AQ9" s="73"/>
      <c r="AR9" s="73">
        <v>15845.907999999999</v>
      </c>
      <c r="AS9" s="73">
        <v>-39.75</v>
      </c>
      <c r="AT9" s="74">
        <v>2647.8910000000001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6568.7000000000007</v>
      </c>
      <c r="F10" s="55">
        <v>25</v>
      </c>
      <c r="G10" s="56">
        <v>60</v>
      </c>
      <c r="H10" s="54"/>
      <c r="I10" s="54">
        <v>1176</v>
      </c>
      <c r="J10" s="57"/>
      <c r="K10" s="54">
        <v>100</v>
      </c>
      <c r="L10" s="75"/>
      <c r="M10" s="54"/>
      <c r="N10" s="58">
        <v>1141.048</v>
      </c>
      <c r="O10" s="54">
        <v>750</v>
      </c>
      <c r="P10" s="54">
        <v>100</v>
      </c>
      <c r="Q10" s="59"/>
      <c r="R10" s="60">
        <v>50</v>
      </c>
      <c r="S10" s="61">
        <v>10445.748</v>
      </c>
      <c r="T10" s="62"/>
      <c r="U10" s="63">
        <v>1698.3040000000001</v>
      </c>
      <c r="V10" s="53">
        <v>30</v>
      </c>
      <c r="W10" s="54">
        <v>750</v>
      </c>
      <c r="X10" s="54">
        <v>125.553</v>
      </c>
      <c r="Y10" s="64"/>
      <c r="Z10" s="64"/>
      <c r="AA10" s="65">
        <v>2603.857</v>
      </c>
      <c r="AB10" s="65">
        <v>7841.8909999999996</v>
      </c>
      <c r="AC10" s="66"/>
      <c r="AD10" s="65">
        <v>7841.8909999999996</v>
      </c>
      <c r="AE10" s="67">
        <v>6568.7000000000007</v>
      </c>
      <c r="AF10" s="51"/>
      <c r="AG10" s="68"/>
      <c r="AH10" s="69"/>
      <c r="AI10" s="70"/>
      <c r="AJ10" s="71"/>
      <c r="AK10" s="72"/>
      <c r="AL10" s="57"/>
      <c r="AM10" s="70"/>
      <c r="AN10" s="73">
        <v>-431.29999999999927</v>
      </c>
      <c r="AO10" s="73">
        <v>-129.38999999999979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6102.6999999999989</v>
      </c>
      <c r="F11" s="55">
        <v>23.5</v>
      </c>
      <c r="G11" s="56">
        <v>1415</v>
      </c>
      <c r="H11" s="54">
        <v>950</v>
      </c>
      <c r="I11" s="54">
        <v>793</v>
      </c>
      <c r="J11" s="57"/>
      <c r="K11" s="54">
        <v>450</v>
      </c>
      <c r="L11" s="75"/>
      <c r="M11" s="54"/>
      <c r="N11" s="58">
        <v>1141.048</v>
      </c>
      <c r="O11" s="54">
        <v>705</v>
      </c>
      <c r="P11" s="54"/>
      <c r="Q11" s="59"/>
      <c r="R11" s="60">
        <v>174</v>
      </c>
      <c r="S11" s="61">
        <v>12388.748</v>
      </c>
      <c r="T11" s="62"/>
      <c r="U11" s="63">
        <v>1698.3040000000001</v>
      </c>
      <c r="V11" s="53">
        <v>30</v>
      </c>
      <c r="W11" s="54">
        <v>675</v>
      </c>
      <c r="X11" s="54"/>
      <c r="Y11" s="64"/>
      <c r="Z11" s="64"/>
      <c r="AA11" s="65">
        <v>2403.3040000000001</v>
      </c>
      <c r="AB11" s="65">
        <v>9985.4439999999995</v>
      </c>
      <c r="AC11" s="66"/>
      <c r="AD11" s="65">
        <v>9985.4439999999995</v>
      </c>
      <c r="AE11" s="67">
        <v>6102.6999999999989</v>
      </c>
      <c r="AF11" s="51"/>
      <c r="AG11" s="68"/>
      <c r="AH11" s="69"/>
      <c r="AI11" s="70"/>
      <c r="AJ11" s="71"/>
      <c r="AK11" s="72"/>
      <c r="AL11" s="57"/>
      <c r="AM11" s="70"/>
      <c r="AN11" s="73">
        <v>-897.30000000000109</v>
      </c>
      <c r="AO11" s="73">
        <v>-269.19000000000034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6382.7199999999993</v>
      </c>
      <c r="F12" s="55">
        <v>28</v>
      </c>
      <c r="G12" s="56">
        <v>2845</v>
      </c>
      <c r="H12" s="54">
        <v>3650</v>
      </c>
      <c r="I12" s="54">
        <v>920</v>
      </c>
      <c r="J12" s="57"/>
      <c r="K12" s="54">
        <v>550</v>
      </c>
      <c r="L12" s="75"/>
      <c r="M12" s="54"/>
      <c r="N12" s="58">
        <v>1141.048</v>
      </c>
      <c r="O12" s="54">
        <v>840</v>
      </c>
      <c r="P12" s="54"/>
      <c r="Q12" s="59"/>
      <c r="R12" s="60">
        <v>118</v>
      </c>
      <c r="S12" s="61">
        <v>17342.768</v>
      </c>
      <c r="T12" s="62"/>
      <c r="U12" s="63">
        <v>1698.3040000000001</v>
      </c>
      <c r="V12" s="53">
        <v>30</v>
      </c>
      <c r="W12" s="54">
        <v>810</v>
      </c>
      <c r="X12" s="54"/>
      <c r="Y12" s="64"/>
      <c r="Z12" s="64"/>
      <c r="AA12" s="65">
        <v>2538.3040000000001</v>
      </c>
      <c r="AB12" s="65">
        <v>14804.464</v>
      </c>
      <c r="AC12" s="66"/>
      <c r="AD12" s="65">
        <v>14804.464</v>
      </c>
      <c r="AE12" s="67">
        <v>6382.7199999999993</v>
      </c>
      <c r="AF12" s="51"/>
      <c r="AG12" s="68"/>
      <c r="AH12" s="69"/>
      <c r="AI12" s="70"/>
      <c r="AJ12" s="71"/>
      <c r="AK12" s="72"/>
      <c r="AL12" s="57"/>
      <c r="AM12" s="70"/>
      <c r="AN12" s="73">
        <v>-617.28000000000065</v>
      </c>
      <c r="AO12" s="73">
        <v>-185.1840000000002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8587.2200000000012</v>
      </c>
      <c r="F13" s="55">
        <v>24.5</v>
      </c>
      <c r="G13" s="56">
        <v>1335</v>
      </c>
      <c r="H13" s="54">
        <v>800</v>
      </c>
      <c r="I13" s="54">
        <v>1134</v>
      </c>
      <c r="J13" s="57"/>
      <c r="K13" s="54">
        <v>350</v>
      </c>
      <c r="L13" s="75">
        <v>400</v>
      </c>
      <c r="M13" s="54"/>
      <c r="N13" s="58">
        <v>1141.048</v>
      </c>
      <c r="O13" s="54">
        <v>735</v>
      </c>
      <c r="P13" s="54">
        <v>100</v>
      </c>
      <c r="Q13" s="59">
        <v>476.16600000000034</v>
      </c>
      <c r="R13" s="60">
        <v>32</v>
      </c>
      <c r="S13" s="61">
        <v>15678.434000000001</v>
      </c>
      <c r="T13" s="62"/>
      <c r="U13" s="63">
        <v>1698.3040000000001</v>
      </c>
      <c r="V13" s="53">
        <v>30</v>
      </c>
      <c r="W13" s="54">
        <v>735</v>
      </c>
      <c r="X13" s="54">
        <v>136.232</v>
      </c>
      <c r="Y13" s="64"/>
      <c r="Z13" s="64"/>
      <c r="AA13" s="65">
        <v>2599.5360000000001</v>
      </c>
      <c r="AB13" s="65">
        <v>13078.898000000001</v>
      </c>
      <c r="AC13" s="66"/>
      <c r="AD13" s="65">
        <v>13078.898000000001</v>
      </c>
      <c r="AE13" s="67">
        <v>8587.2200000000012</v>
      </c>
      <c r="AF13" s="51"/>
      <c r="AG13" s="68"/>
      <c r="AH13" s="69"/>
      <c r="AI13" s="70"/>
      <c r="AJ13" s="71"/>
      <c r="AK13" s="72"/>
      <c r="AL13" s="57"/>
      <c r="AM13" s="70"/>
      <c r="AN13" s="73">
        <v>1587.2200000000012</v>
      </c>
      <c r="AO13" s="73">
        <v>476.16600000000034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5891.3</v>
      </c>
      <c r="F14" s="55">
        <v>27</v>
      </c>
      <c r="G14" s="56">
        <v>1475</v>
      </c>
      <c r="H14" s="54">
        <v>1400</v>
      </c>
      <c r="I14" s="54">
        <v>828</v>
      </c>
      <c r="J14" s="57"/>
      <c r="K14" s="54">
        <v>500</v>
      </c>
      <c r="L14" s="75"/>
      <c r="M14" s="54"/>
      <c r="N14" s="58">
        <v>1141.048</v>
      </c>
      <c r="O14" s="54">
        <v>810</v>
      </c>
      <c r="P14" s="54">
        <v>100</v>
      </c>
      <c r="Q14" s="59"/>
      <c r="R14" s="60"/>
      <c r="S14" s="61">
        <v>12361.348</v>
      </c>
      <c r="T14" s="62"/>
      <c r="U14" s="63">
        <v>1698.3040000000001</v>
      </c>
      <c r="V14" s="53">
        <v>30</v>
      </c>
      <c r="W14" s="54">
        <v>780</v>
      </c>
      <c r="X14" s="54">
        <v>120</v>
      </c>
      <c r="Y14" s="64"/>
      <c r="Z14" s="64"/>
      <c r="AA14" s="65">
        <v>2628.3040000000001</v>
      </c>
      <c r="AB14" s="65">
        <v>9733.0439999999999</v>
      </c>
      <c r="AC14" s="66"/>
      <c r="AD14" s="65">
        <v>9733.0439999999999</v>
      </c>
      <c r="AE14" s="67">
        <v>5891.3</v>
      </c>
      <c r="AF14" s="51"/>
      <c r="AG14" s="68"/>
      <c r="AH14" s="69"/>
      <c r="AI14" s="70"/>
      <c r="AJ14" s="71"/>
      <c r="AK14" s="72"/>
      <c r="AL14" s="57"/>
      <c r="AM14" s="70"/>
      <c r="AN14" s="73">
        <v>-1108.6999999999998</v>
      </c>
      <c r="AO14" s="73">
        <v>-332.60999999999996</v>
      </c>
      <c r="AR14" s="73"/>
      <c r="AS14" s="73"/>
      <c r="AT14" s="74"/>
      <c r="AU14" s="73"/>
    </row>
    <row r="15" spans="1:47" ht="33" customHeight="1" x14ac:dyDescent="0.25">
      <c r="A15" s="26" t="s">
        <v>54</v>
      </c>
      <c r="B15" s="31"/>
      <c r="C15" s="87"/>
      <c r="D15" s="62"/>
      <c r="E15" s="88">
        <v>43027.040000000001</v>
      </c>
      <c r="F15" s="89"/>
      <c r="G15" s="90">
        <v>10335</v>
      </c>
      <c r="H15" s="90">
        <v>16860</v>
      </c>
      <c r="I15" s="90">
        <v>6183</v>
      </c>
      <c r="J15" s="90">
        <v>0</v>
      </c>
      <c r="K15" s="90">
        <v>2750</v>
      </c>
      <c r="L15" s="90">
        <v>2525</v>
      </c>
      <c r="M15" s="90">
        <v>1500</v>
      </c>
      <c r="N15" s="90">
        <v>7987.3359999999993</v>
      </c>
      <c r="O15" s="90">
        <v>5415</v>
      </c>
      <c r="P15" s="90">
        <v>500</v>
      </c>
      <c r="Q15" s="90">
        <v>525.57600000000025</v>
      </c>
      <c r="R15" s="90">
        <v>558</v>
      </c>
      <c r="S15" s="90">
        <v>103017.95199999999</v>
      </c>
      <c r="T15" s="90">
        <v>0</v>
      </c>
      <c r="U15" s="90">
        <v>11888.128000000001</v>
      </c>
      <c r="V15" s="90">
        <v>210</v>
      </c>
      <c r="W15" s="90">
        <v>5325</v>
      </c>
      <c r="X15" s="90">
        <v>708.37199999999996</v>
      </c>
      <c r="Y15" s="90">
        <v>0</v>
      </c>
      <c r="Z15" s="90">
        <v>0</v>
      </c>
      <c r="AA15" s="90">
        <v>18131.5</v>
      </c>
      <c r="AB15" s="90">
        <v>84886.45199999999</v>
      </c>
      <c r="AC15" s="90">
        <v>0</v>
      </c>
      <c r="AD15" s="90">
        <v>84886.45199999999</v>
      </c>
    </row>
    <row r="16" spans="1:47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 t="s">
        <v>55</v>
      </c>
      <c r="AA17" s="96"/>
      <c r="AB17" s="96"/>
      <c r="AC17" s="93"/>
      <c r="AD17" s="96"/>
    </row>
    <row r="18" spans="1:42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42" x14ac:dyDescent="0.25">
      <c r="B19" s="1"/>
      <c r="D19" s="6"/>
      <c r="H19" s="67"/>
      <c r="O19" s="6"/>
      <c r="S19" s="100"/>
      <c r="T19" s="100"/>
      <c r="X19" s="101"/>
      <c r="AA19" s="6"/>
    </row>
    <row r="20" spans="1:42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42" x14ac:dyDescent="0.25">
      <c r="B21" s="1"/>
      <c r="D21" s="6"/>
      <c r="O21" s="6"/>
      <c r="S21" s="104"/>
      <c r="T21" s="100"/>
      <c r="U21" s="103"/>
      <c r="AA21" s="6"/>
      <c r="AP21" s="67"/>
    </row>
    <row r="22" spans="1:42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F22" s="109"/>
      <c r="AH22" s="109"/>
      <c r="AJ22" s="109"/>
      <c r="AK22" s="109"/>
      <c r="AP22" s="114"/>
    </row>
    <row r="23" spans="1:42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N23" s="67"/>
      <c r="AP23" s="67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N26" s="67"/>
      <c r="AP26" s="67"/>
    </row>
    <row r="27" spans="1:42" s="1" customFormat="1" x14ac:dyDescent="0.25">
      <c r="E27" s="73"/>
      <c r="F27" s="98"/>
      <c r="L27" s="32"/>
      <c r="AF27" s="6"/>
      <c r="AG27" s="4"/>
      <c r="AH27" s="6"/>
      <c r="AI27" s="4"/>
      <c r="AJ27" s="6"/>
      <c r="AK27" s="6"/>
      <c r="AL27" s="4"/>
      <c r="AM27" s="4"/>
      <c r="AP27" s="67"/>
    </row>
    <row r="28" spans="1:42" x14ac:dyDescent="0.25">
      <c r="AP28" s="67"/>
    </row>
    <row r="29" spans="1:42" x14ac:dyDescent="0.25">
      <c r="W29" s="103"/>
      <c r="AP29" s="67"/>
    </row>
    <row r="30" spans="1:42" x14ac:dyDescent="0.25">
      <c r="W30" s="103"/>
      <c r="AP30" s="67"/>
    </row>
    <row r="31" spans="1:42" x14ac:dyDescent="0.25">
      <c r="A31" s="8"/>
      <c r="B31" s="8"/>
      <c r="O31" s="103"/>
      <c r="AP31" s="67"/>
    </row>
    <row r="32" spans="1:42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P32" s="67"/>
    </row>
    <row r="33" spans="1:45" x14ac:dyDescent="0.25">
      <c r="A33" s="8"/>
      <c r="B33" s="8"/>
      <c r="AP33" s="67"/>
    </row>
    <row r="34" spans="1:45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F34" s="6"/>
      <c r="AG34" s="4"/>
      <c r="AH34" s="6"/>
      <c r="AI34" s="4"/>
      <c r="AJ34" s="6"/>
      <c r="AK34" s="6"/>
      <c r="AL34" s="4"/>
      <c r="AM34" s="4"/>
      <c r="AP34" s="67"/>
    </row>
    <row r="35" spans="1:45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 t="s">
        <v>62</v>
      </c>
      <c r="AH38" s="6"/>
      <c r="AI38" s="4"/>
      <c r="AJ38" s="6"/>
      <c r="AK38" s="6"/>
      <c r="AL38" s="4"/>
      <c r="AM38" s="4"/>
      <c r="AN38" s="119"/>
      <c r="AO38" s="4"/>
      <c r="AP38" s="67"/>
      <c r="AQ38" s="4"/>
      <c r="AR38" s="4"/>
      <c r="AS38" s="4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120" t="s">
        <v>63</v>
      </c>
      <c r="AG39" s="4"/>
      <c r="AH39" s="6"/>
      <c r="AI39" s="4"/>
      <c r="AJ39" s="6"/>
      <c r="AK39" s="6"/>
      <c r="AL39" s="4"/>
      <c r="AM39" s="4"/>
      <c r="AN39" s="4"/>
      <c r="AO39" s="4"/>
      <c r="AP39" s="67"/>
      <c r="AQ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64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65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x14ac:dyDescent="0.25">
      <c r="AP42" s="67"/>
    </row>
    <row r="43" spans="1:45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6"/>
      <c r="AG43" s="4"/>
      <c r="AH43" s="6"/>
      <c r="AI43" s="4"/>
      <c r="AJ43" s="6"/>
      <c r="AK43" s="6"/>
      <c r="AL43" s="4"/>
      <c r="AM43" s="4"/>
      <c r="AN43" s="4"/>
      <c r="AO43" s="4"/>
      <c r="AP43" s="67"/>
      <c r="AQ43" s="4"/>
    </row>
    <row r="44" spans="1:45" x14ac:dyDescent="0.25">
      <c r="AP44" s="67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5" spans="2:42" x14ac:dyDescent="0.25">
      <c r="B55" s="103"/>
      <c r="E55" s="122"/>
      <c r="F55" s="122"/>
    </row>
    <row r="60" spans="2:42" x14ac:dyDescent="0.25">
      <c r="V60" s="123"/>
    </row>
    <row r="91" spans="1:43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G91" s="4"/>
      <c r="AI91" s="4"/>
      <c r="AL91" s="4"/>
      <c r="AM91" s="4"/>
      <c r="AN91" s="4"/>
      <c r="AO91" s="4"/>
      <c r="AP91" s="4"/>
      <c r="AQ91" s="4"/>
    </row>
    <row r="92" spans="1:43" x14ac:dyDescent="0.25">
      <c r="B92" s="124"/>
    </row>
    <row r="95" spans="1:43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G95" s="4"/>
      <c r="AI95" s="4"/>
      <c r="AL95" s="4"/>
      <c r="AM95" s="4"/>
      <c r="AN95" s="4"/>
      <c r="AO95" s="4"/>
      <c r="AP95" s="4"/>
      <c r="AQ95" s="4"/>
    </row>
    <row r="96" spans="1:43" x14ac:dyDescent="0.25">
      <c r="A96" s="51"/>
    </row>
  </sheetData>
  <mergeCells count="50">
    <mergeCell ref="Y6:Y7"/>
    <mergeCell ref="Z6:Z7"/>
    <mergeCell ref="A15:B15"/>
    <mergeCell ref="C18:E18"/>
    <mergeCell ref="N22:P22"/>
    <mergeCell ref="E55:F55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workbookViewId="0">
      <selection activeCell="T18" sqref="T18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105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2100</v>
      </c>
      <c r="D8" s="143">
        <v>4000</v>
      </c>
      <c r="E8" s="143">
        <v>4500</v>
      </c>
      <c r="F8" s="143">
        <v>2300</v>
      </c>
      <c r="G8" s="143"/>
      <c r="H8" s="143">
        <v>1100</v>
      </c>
      <c r="I8" s="143">
        <v>3500</v>
      </c>
      <c r="J8" s="143"/>
      <c r="K8" s="143"/>
      <c r="L8" s="143"/>
      <c r="M8" s="143"/>
      <c r="N8" s="143">
        <v>3250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5.5</v>
      </c>
      <c r="D9" s="146">
        <v>6.6</v>
      </c>
      <c r="E9" s="146">
        <v>11</v>
      </c>
      <c r="F9" s="146">
        <v>5</v>
      </c>
      <c r="G9" s="146"/>
      <c r="H9" s="146">
        <v>2</v>
      </c>
      <c r="I9" s="146">
        <v>7.5</v>
      </c>
      <c r="J9" s="146"/>
      <c r="K9" s="148"/>
      <c r="L9" s="146"/>
      <c r="M9" s="146"/>
      <c r="N9" s="146">
        <v>7.5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12734</v>
      </c>
      <c r="D10" s="152">
        <v>1739</v>
      </c>
      <c r="E10" s="152">
        <v>9425</v>
      </c>
      <c r="F10" s="152">
        <v>13010</v>
      </c>
      <c r="G10" s="154"/>
      <c r="H10" s="154">
        <v>15280</v>
      </c>
      <c r="I10" s="154">
        <v>9293</v>
      </c>
      <c r="J10" s="152"/>
      <c r="K10" s="152"/>
      <c r="L10" s="152"/>
      <c r="M10" s="152"/>
      <c r="N10" s="152">
        <v>8577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18515</v>
      </c>
      <c r="D12" s="141">
        <v>3685</v>
      </c>
      <c r="E12" s="141">
        <v>15595</v>
      </c>
      <c r="F12" s="141">
        <v>6805</v>
      </c>
      <c r="G12" s="160"/>
      <c r="H12" s="160">
        <v>2175</v>
      </c>
      <c r="I12" s="160">
        <v>13934</v>
      </c>
      <c r="J12" s="143"/>
      <c r="K12" s="141"/>
      <c r="L12" s="141"/>
      <c r="M12" s="141"/>
      <c r="N12" s="141">
        <v>14545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6362</v>
      </c>
      <c r="D13" s="141">
        <v>2246</v>
      </c>
      <c r="E13" s="141">
        <v>5685</v>
      </c>
      <c r="F13" s="141">
        <v>1830</v>
      </c>
      <c r="G13" s="160"/>
      <c r="H13" s="160">
        <v>4130</v>
      </c>
      <c r="I13" s="160">
        <v>4658</v>
      </c>
      <c r="J13" s="143"/>
      <c r="K13" s="143"/>
      <c r="L13" s="141"/>
      <c r="M13" s="141"/>
      <c r="N13" s="141">
        <v>4308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>
        <v>1500</v>
      </c>
      <c r="D14" s="141">
        <v>1400</v>
      </c>
      <c r="E14" s="141"/>
      <c r="F14" s="141">
        <v>700</v>
      </c>
      <c r="G14" s="160"/>
      <c r="H14" s="160"/>
      <c r="I14" s="160"/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41211</v>
      </c>
      <c r="D18" s="164">
        <f>SUM(D10:D17)+D8</f>
        <v>13070</v>
      </c>
      <c r="E18" s="164">
        <f>SUM(E10:E17)+E8</f>
        <v>35205</v>
      </c>
      <c r="F18" s="164">
        <f>SUM(F10:F17)+F8</f>
        <v>24645</v>
      </c>
      <c r="G18" s="164">
        <f t="shared" ref="G18:N18" si="0">SUM(G10:G17)+G8</f>
        <v>0</v>
      </c>
      <c r="H18" s="164">
        <f t="shared" si="0"/>
        <v>22685</v>
      </c>
      <c r="I18" s="164">
        <f>SUM(I10:I17)+I8</f>
        <v>31385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30680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385</v>
      </c>
      <c r="D19" s="165">
        <f t="shared" ref="D19:N19" si="1">D9*70</f>
        <v>462</v>
      </c>
      <c r="E19" s="165">
        <f t="shared" si="1"/>
        <v>770</v>
      </c>
      <c r="F19" s="165">
        <f t="shared" si="1"/>
        <v>350</v>
      </c>
      <c r="G19" s="165">
        <f t="shared" si="1"/>
        <v>0</v>
      </c>
      <c r="H19" s="165">
        <f t="shared" si="1"/>
        <v>140</v>
      </c>
      <c r="I19" s="165">
        <f t="shared" si="1"/>
        <v>525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525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4074.88</v>
      </c>
      <c r="D20" s="165">
        <f t="shared" si="2"/>
        <v>556.48</v>
      </c>
      <c r="E20" s="165">
        <f t="shared" si="2"/>
        <v>3016</v>
      </c>
      <c r="F20" s="165">
        <f t="shared" si="2"/>
        <v>4163.2</v>
      </c>
      <c r="G20" s="165">
        <f t="shared" si="2"/>
        <v>0</v>
      </c>
      <c r="H20" s="165">
        <f t="shared" si="2"/>
        <v>4889.6000000000004</v>
      </c>
      <c r="I20" s="165">
        <f t="shared" si="2"/>
        <v>2973.76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2744.64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 t="shared" ref="C21:N21" si="3">C11*0.35</f>
        <v>0</v>
      </c>
      <c r="D21" s="165">
        <f t="shared" si="3"/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1851.5</v>
      </c>
      <c r="D22" s="165">
        <f t="shared" si="4"/>
        <v>368.5</v>
      </c>
      <c r="E22" s="165">
        <f t="shared" si="4"/>
        <v>1559.5</v>
      </c>
      <c r="F22" s="165">
        <f t="shared" si="4"/>
        <v>680.5</v>
      </c>
      <c r="G22" s="165">
        <f t="shared" si="4"/>
        <v>0</v>
      </c>
      <c r="H22" s="165">
        <f t="shared" si="4"/>
        <v>217.5</v>
      </c>
      <c r="I22" s="165">
        <f t="shared" si="4"/>
        <v>1393.4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1454.5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2035.8400000000001</v>
      </c>
      <c r="D23" s="165">
        <f t="shared" si="5"/>
        <v>718.72</v>
      </c>
      <c r="E23" s="165">
        <f t="shared" si="5"/>
        <v>1819.2</v>
      </c>
      <c r="F23" s="165">
        <f t="shared" si="5"/>
        <v>585.6</v>
      </c>
      <c r="G23" s="165">
        <f t="shared" si="5"/>
        <v>0</v>
      </c>
      <c r="H23" s="165">
        <f t="shared" si="5"/>
        <v>1321.6000000000001</v>
      </c>
      <c r="I23" s="165">
        <f t="shared" si="5"/>
        <v>1490.56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1378.56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240</v>
      </c>
      <c r="D24" s="165">
        <f t="shared" si="6"/>
        <v>224</v>
      </c>
      <c r="E24" s="165">
        <f t="shared" si="6"/>
        <v>0</v>
      </c>
      <c r="F24" s="165">
        <f t="shared" si="6"/>
        <v>112</v>
      </c>
      <c r="G24" s="165">
        <f t="shared" si="6"/>
        <v>0</v>
      </c>
      <c r="H24" s="165">
        <f t="shared" si="6"/>
        <v>0</v>
      </c>
      <c r="I24" s="165">
        <f t="shared" si="6"/>
        <v>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8587.2200000000012</v>
      </c>
      <c r="D28" s="168">
        <f t="shared" si="9"/>
        <v>2329.6999999999998</v>
      </c>
      <c r="E28" s="168">
        <f t="shared" si="9"/>
        <v>7164.7</v>
      </c>
      <c r="F28" s="168">
        <f t="shared" si="9"/>
        <v>5891.3</v>
      </c>
      <c r="G28" s="168">
        <f t="shared" si="9"/>
        <v>0</v>
      </c>
      <c r="H28" s="168">
        <f t="shared" si="9"/>
        <v>6568.7000000000007</v>
      </c>
      <c r="I28" s="168">
        <f t="shared" si="9"/>
        <v>6382.7199999999993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6102.6999999999989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43027.040000000001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"/>
  <sheetViews>
    <sheetView workbookViewId="0">
      <selection activeCell="I18" sqref="I18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28515625" style="8" hidden="1" customWidth="1"/>
    <col min="27" max="28" width="9.42578125" style="1" customWidth="1"/>
    <col min="29" max="29" width="7.85546875" style="1" customWidth="1"/>
    <col min="30" max="30" width="10.5703125" style="4" customWidth="1"/>
    <col min="31" max="31" width="9.140625" style="4"/>
    <col min="32" max="32" width="0" style="6" hidden="1" customWidth="1"/>
    <col min="33" max="33" width="26" style="4" hidden="1" customWidth="1"/>
    <col min="34" max="34" width="0" style="6" hidden="1" customWidth="1"/>
    <col min="35" max="35" width="0" style="4" hidden="1" customWidth="1"/>
    <col min="36" max="37" width="0" style="6" hidden="1" customWidth="1"/>
    <col min="38" max="38" width="10.7109375" style="4" hidden="1" customWidth="1"/>
    <col min="39" max="39" width="0" style="4" hidden="1" customWidth="1"/>
    <col min="40" max="41" width="9.140625" style="4"/>
    <col min="42" max="42" width="10.7109375" style="4" customWidth="1"/>
    <col min="43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0" style="4" hidden="1" customWidth="1"/>
    <col min="283" max="284" width="9.42578125" style="4" customWidth="1"/>
    <col min="285" max="285" width="7.85546875" style="4" customWidth="1"/>
    <col min="286" max="286" width="10.5703125" style="4" customWidth="1"/>
    <col min="287" max="287" width="9.140625" style="4"/>
    <col min="288" max="295" width="0" style="4" hidden="1" customWidth="1"/>
    <col min="296" max="297" width="9.140625" style="4"/>
    <col min="298" max="298" width="10.7109375" style="4" customWidth="1"/>
    <col min="299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0" style="4" hidden="1" customWidth="1"/>
    <col min="539" max="540" width="9.42578125" style="4" customWidth="1"/>
    <col min="541" max="541" width="7.85546875" style="4" customWidth="1"/>
    <col min="542" max="542" width="10.5703125" style="4" customWidth="1"/>
    <col min="543" max="543" width="9.140625" style="4"/>
    <col min="544" max="551" width="0" style="4" hidden="1" customWidth="1"/>
    <col min="552" max="553" width="9.140625" style="4"/>
    <col min="554" max="554" width="10.7109375" style="4" customWidth="1"/>
    <col min="555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0" style="4" hidden="1" customWidth="1"/>
    <col min="795" max="796" width="9.42578125" style="4" customWidth="1"/>
    <col min="797" max="797" width="7.85546875" style="4" customWidth="1"/>
    <col min="798" max="798" width="10.5703125" style="4" customWidth="1"/>
    <col min="799" max="799" width="9.140625" style="4"/>
    <col min="800" max="807" width="0" style="4" hidden="1" customWidth="1"/>
    <col min="808" max="809" width="9.140625" style="4"/>
    <col min="810" max="810" width="10.7109375" style="4" customWidth="1"/>
    <col min="811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0" style="4" hidden="1" customWidth="1"/>
    <col min="1051" max="1052" width="9.42578125" style="4" customWidth="1"/>
    <col min="1053" max="1053" width="7.85546875" style="4" customWidth="1"/>
    <col min="1054" max="1054" width="10.5703125" style="4" customWidth="1"/>
    <col min="1055" max="1055" width="9.140625" style="4"/>
    <col min="1056" max="1063" width="0" style="4" hidden="1" customWidth="1"/>
    <col min="1064" max="1065" width="9.140625" style="4"/>
    <col min="1066" max="1066" width="10.7109375" style="4" customWidth="1"/>
    <col min="1067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0" style="4" hidden="1" customWidth="1"/>
    <col min="1307" max="1308" width="9.42578125" style="4" customWidth="1"/>
    <col min="1309" max="1309" width="7.85546875" style="4" customWidth="1"/>
    <col min="1310" max="1310" width="10.5703125" style="4" customWidth="1"/>
    <col min="1311" max="1311" width="9.140625" style="4"/>
    <col min="1312" max="1319" width="0" style="4" hidden="1" customWidth="1"/>
    <col min="1320" max="1321" width="9.140625" style="4"/>
    <col min="1322" max="1322" width="10.7109375" style="4" customWidth="1"/>
    <col min="1323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0" style="4" hidden="1" customWidth="1"/>
    <col min="1563" max="1564" width="9.42578125" style="4" customWidth="1"/>
    <col min="1565" max="1565" width="7.85546875" style="4" customWidth="1"/>
    <col min="1566" max="1566" width="10.5703125" style="4" customWidth="1"/>
    <col min="1567" max="1567" width="9.140625" style="4"/>
    <col min="1568" max="1575" width="0" style="4" hidden="1" customWidth="1"/>
    <col min="1576" max="1577" width="9.140625" style="4"/>
    <col min="1578" max="1578" width="10.7109375" style="4" customWidth="1"/>
    <col min="1579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0" style="4" hidden="1" customWidth="1"/>
    <col min="1819" max="1820" width="9.42578125" style="4" customWidth="1"/>
    <col min="1821" max="1821" width="7.85546875" style="4" customWidth="1"/>
    <col min="1822" max="1822" width="10.5703125" style="4" customWidth="1"/>
    <col min="1823" max="1823" width="9.140625" style="4"/>
    <col min="1824" max="1831" width="0" style="4" hidden="1" customWidth="1"/>
    <col min="1832" max="1833" width="9.140625" style="4"/>
    <col min="1834" max="1834" width="10.7109375" style="4" customWidth="1"/>
    <col min="1835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0" style="4" hidden="1" customWidth="1"/>
    <col min="2075" max="2076" width="9.42578125" style="4" customWidth="1"/>
    <col min="2077" max="2077" width="7.85546875" style="4" customWidth="1"/>
    <col min="2078" max="2078" width="10.5703125" style="4" customWidth="1"/>
    <col min="2079" max="2079" width="9.140625" style="4"/>
    <col min="2080" max="2087" width="0" style="4" hidden="1" customWidth="1"/>
    <col min="2088" max="2089" width="9.140625" style="4"/>
    <col min="2090" max="2090" width="10.7109375" style="4" customWidth="1"/>
    <col min="2091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0" style="4" hidden="1" customWidth="1"/>
    <col min="2331" max="2332" width="9.42578125" style="4" customWidth="1"/>
    <col min="2333" max="2333" width="7.85546875" style="4" customWidth="1"/>
    <col min="2334" max="2334" width="10.5703125" style="4" customWidth="1"/>
    <col min="2335" max="2335" width="9.140625" style="4"/>
    <col min="2336" max="2343" width="0" style="4" hidden="1" customWidth="1"/>
    <col min="2344" max="2345" width="9.140625" style="4"/>
    <col min="2346" max="2346" width="10.7109375" style="4" customWidth="1"/>
    <col min="2347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0" style="4" hidden="1" customWidth="1"/>
    <col min="2587" max="2588" width="9.42578125" style="4" customWidth="1"/>
    <col min="2589" max="2589" width="7.85546875" style="4" customWidth="1"/>
    <col min="2590" max="2590" width="10.5703125" style="4" customWidth="1"/>
    <col min="2591" max="2591" width="9.140625" style="4"/>
    <col min="2592" max="2599" width="0" style="4" hidden="1" customWidth="1"/>
    <col min="2600" max="2601" width="9.140625" style="4"/>
    <col min="2602" max="2602" width="10.7109375" style="4" customWidth="1"/>
    <col min="2603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0" style="4" hidden="1" customWidth="1"/>
    <col min="2843" max="2844" width="9.42578125" style="4" customWidth="1"/>
    <col min="2845" max="2845" width="7.85546875" style="4" customWidth="1"/>
    <col min="2846" max="2846" width="10.5703125" style="4" customWidth="1"/>
    <col min="2847" max="2847" width="9.140625" style="4"/>
    <col min="2848" max="2855" width="0" style="4" hidden="1" customWidth="1"/>
    <col min="2856" max="2857" width="9.140625" style="4"/>
    <col min="2858" max="2858" width="10.7109375" style="4" customWidth="1"/>
    <col min="2859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0" style="4" hidden="1" customWidth="1"/>
    <col min="3099" max="3100" width="9.42578125" style="4" customWidth="1"/>
    <col min="3101" max="3101" width="7.85546875" style="4" customWidth="1"/>
    <col min="3102" max="3102" width="10.5703125" style="4" customWidth="1"/>
    <col min="3103" max="3103" width="9.140625" style="4"/>
    <col min="3104" max="3111" width="0" style="4" hidden="1" customWidth="1"/>
    <col min="3112" max="3113" width="9.140625" style="4"/>
    <col min="3114" max="3114" width="10.7109375" style="4" customWidth="1"/>
    <col min="3115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0" style="4" hidden="1" customWidth="1"/>
    <col min="3355" max="3356" width="9.42578125" style="4" customWidth="1"/>
    <col min="3357" max="3357" width="7.85546875" style="4" customWidth="1"/>
    <col min="3358" max="3358" width="10.5703125" style="4" customWidth="1"/>
    <col min="3359" max="3359" width="9.140625" style="4"/>
    <col min="3360" max="3367" width="0" style="4" hidden="1" customWidth="1"/>
    <col min="3368" max="3369" width="9.140625" style="4"/>
    <col min="3370" max="3370" width="10.7109375" style="4" customWidth="1"/>
    <col min="3371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0" style="4" hidden="1" customWidth="1"/>
    <col min="3611" max="3612" width="9.42578125" style="4" customWidth="1"/>
    <col min="3613" max="3613" width="7.85546875" style="4" customWidth="1"/>
    <col min="3614" max="3614" width="10.5703125" style="4" customWidth="1"/>
    <col min="3615" max="3615" width="9.140625" style="4"/>
    <col min="3616" max="3623" width="0" style="4" hidden="1" customWidth="1"/>
    <col min="3624" max="3625" width="9.140625" style="4"/>
    <col min="3626" max="3626" width="10.7109375" style="4" customWidth="1"/>
    <col min="3627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0" style="4" hidden="1" customWidth="1"/>
    <col min="3867" max="3868" width="9.42578125" style="4" customWidth="1"/>
    <col min="3869" max="3869" width="7.85546875" style="4" customWidth="1"/>
    <col min="3870" max="3870" width="10.5703125" style="4" customWidth="1"/>
    <col min="3871" max="3871" width="9.140625" style="4"/>
    <col min="3872" max="3879" width="0" style="4" hidden="1" customWidth="1"/>
    <col min="3880" max="3881" width="9.140625" style="4"/>
    <col min="3882" max="3882" width="10.7109375" style="4" customWidth="1"/>
    <col min="3883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0" style="4" hidden="1" customWidth="1"/>
    <col min="4123" max="4124" width="9.42578125" style="4" customWidth="1"/>
    <col min="4125" max="4125" width="7.85546875" style="4" customWidth="1"/>
    <col min="4126" max="4126" width="10.5703125" style="4" customWidth="1"/>
    <col min="4127" max="4127" width="9.140625" style="4"/>
    <col min="4128" max="4135" width="0" style="4" hidden="1" customWidth="1"/>
    <col min="4136" max="4137" width="9.140625" style="4"/>
    <col min="4138" max="4138" width="10.7109375" style="4" customWidth="1"/>
    <col min="4139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0" style="4" hidden="1" customWidth="1"/>
    <col min="4379" max="4380" width="9.42578125" style="4" customWidth="1"/>
    <col min="4381" max="4381" width="7.85546875" style="4" customWidth="1"/>
    <col min="4382" max="4382" width="10.5703125" style="4" customWidth="1"/>
    <col min="4383" max="4383" width="9.140625" style="4"/>
    <col min="4384" max="4391" width="0" style="4" hidden="1" customWidth="1"/>
    <col min="4392" max="4393" width="9.140625" style="4"/>
    <col min="4394" max="4394" width="10.7109375" style="4" customWidth="1"/>
    <col min="4395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0" style="4" hidden="1" customWidth="1"/>
    <col min="4635" max="4636" width="9.42578125" style="4" customWidth="1"/>
    <col min="4637" max="4637" width="7.85546875" style="4" customWidth="1"/>
    <col min="4638" max="4638" width="10.5703125" style="4" customWidth="1"/>
    <col min="4639" max="4639" width="9.140625" style="4"/>
    <col min="4640" max="4647" width="0" style="4" hidden="1" customWidth="1"/>
    <col min="4648" max="4649" width="9.140625" style="4"/>
    <col min="4650" max="4650" width="10.7109375" style="4" customWidth="1"/>
    <col min="4651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0" style="4" hidden="1" customWidth="1"/>
    <col min="4891" max="4892" width="9.42578125" style="4" customWidth="1"/>
    <col min="4893" max="4893" width="7.85546875" style="4" customWidth="1"/>
    <col min="4894" max="4894" width="10.5703125" style="4" customWidth="1"/>
    <col min="4895" max="4895" width="9.140625" style="4"/>
    <col min="4896" max="4903" width="0" style="4" hidden="1" customWidth="1"/>
    <col min="4904" max="4905" width="9.140625" style="4"/>
    <col min="4906" max="4906" width="10.7109375" style="4" customWidth="1"/>
    <col min="4907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0" style="4" hidden="1" customWidth="1"/>
    <col min="5147" max="5148" width="9.42578125" style="4" customWidth="1"/>
    <col min="5149" max="5149" width="7.85546875" style="4" customWidth="1"/>
    <col min="5150" max="5150" width="10.5703125" style="4" customWidth="1"/>
    <col min="5151" max="5151" width="9.140625" style="4"/>
    <col min="5152" max="5159" width="0" style="4" hidden="1" customWidth="1"/>
    <col min="5160" max="5161" width="9.140625" style="4"/>
    <col min="5162" max="5162" width="10.7109375" style="4" customWidth="1"/>
    <col min="5163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0" style="4" hidden="1" customWidth="1"/>
    <col min="5403" max="5404" width="9.42578125" style="4" customWidth="1"/>
    <col min="5405" max="5405" width="7.85546875" style="4" customWidth="1"/>
    <col min="5406" max="5406" width="10.5703125" style="4" customWidth="1"/>
    <col min="5407" max="5407" width="9.140625" style="4"/>
    <col min="5408" max="5415" width="0" style="4" hidden="1" customWidth="1"/>
    <col min="5416" max="5417" width="9.140625" style="4"/>
    <col min="5418" max="5418" width="10.7109375" style="4" customWidth="1"/>
    <col min="5419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0" style="4" hidden="1" customWidth="1"/>
    <col min="5659" max="5660" width="9.42578125" style="4" customWidth="1"/>
    <col min="5661" max="5661" width="7.85546875" style="4" customWidth="1"/>
    <col min="5662" max="5662" width="10.5703125" style="4" customWidth="1"/>
    <col min="5663" max="5663" width="9.140625" style="4"/>
    <col min="5664" max="5671" width="0" style="4" hidden="1" customWidth="1"/>
    <col min="5672" max="5673" width="9.140625" style="4"/>
    <col min="5674" max="5674" width="10.7109375" style="4" customWidth="1"/>
    <col min="5675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0" style="4" hidden="1" customWidth="1"/>
    <col min="5915" max="5916" width="9.42578125" style="4" customWidth="1"/>
    <col min="5917" max="5917" width="7.85546875" style="4" customWidth="1"/>
    <col min="5918" max="5918" width="10.5703125" style="4" customWidth="1"/>
    <col min="5919" max="5919" width="9.140625" style="4"/>
    <col min="5920" max="5927" width="0" style="4" hidden="1" customWidth="1"/>
    <col min="5928" max="5929" width="9.140625" style="4"/>
    <col min="5930" max="5930" width="10.7109375" style="4" customWidth="1"/>
    <col min="5931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0" style="4" hidden="1" customWidth="1"/>
    <col min="6171" max="6172" width="9.42578125" style="4" customWidth="1"/>
    <col min="6173" max="6173" width="7.85546875" style="4" customWidth="1"/>
    <col min="6174" max="6174" width="10.5703125" style="4" customWidth="1"/>
    <col min="6175" max="6175" width="9.140625" style="4"/>
    <col min="6176" max="6183" width="0" style="4" hidden="1" customWidth="1"/>
    <col min="6184" max="6185" width="9.140625" style="4"/>
    <col min="6186" max="6186" width="10.7109375" style="4" customWidth="1"/>
    <col min="6187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0" style="4" hidden="1" customWidth="1"/>
    <col min="6427" max="6428" width="9.42578125" style="4" customWidth="1"/>
    <col min="6429" max="6429" width="7.85546875" style="4" customWidth="1"/>
    <col min="6430" max="6430" width="10.5703125" style="4" customWidth="1"/>
    <col min="6431" max="6431" width="9.140625" style="4"/>
    <col min="6432" max="6439" width="0" style="4" hidden="1" customWidth="1"/>
    <col min="6440" max="6441" width="9.140625" style="4"/>
    <col min="6442" max="6442" width="10.7109375" style="4" customWidth="1"/>
    <col min="6443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0" style="4" hidden="1" customWidth="1"/>
    <col min="6683" max="6684" width="9.42578125" style="4" customWidth="1"/>
    <col min="6685" max="6685" width="7.85546875" style="4" customWidth="1"/>
    <col min="6686" max="6686" width="10.5703125" style="4" customWidth="1"/>
    <col min="6687" max="6687" width="9.140625" style="4"/>
    <col min="6688" max="6695" width="0" style="4" hidden="1" customWidth="1"/>
    <col min="6696" max="6697" width="9.140625" style="4"/>
    <col min="6698" max="6698" width="10.7109375" style="4" customWidth="1"/>
    <col min="6699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0" style="4" hidden="1" customWidth="1"/>
    <col min="6939" max="6940" width="9.42578125" style="4" customWidth="1"/>
    <col min="6941" max="6941" width="7.85546875" style="4" customWidth="1"/>
    <col min="6942" max="6942" width="10.5703125" style="4" customWidth="1"/>
    <col min="6943" max="6943" width="9.140625" style="4"/>
    <col min="6944" max="6951" width="0" style="4" hidden="1" customWidth="1"/>
    <col min="6952" max="6953" width="9.140625" style="4"/>
    <col min="6954" max="6954" width="10.7109375" style="4" customWidth="1"/>
    <col min="6955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0" style="4" hidden="1" customWidth="1"/>
    <col min="7195" max="7196" width="9.42578125" style="4" customWidth="1"/>
    <col min="7197" max="7197" width="7.85546875" style="4" customWidth="1"/>
    <col min="7198" max="7198" width="10.5703125" style="4" customWidth="1"/>
    <col min="7199" max="7199" width="9.140625" style="4"/>
    <col min="7200" max="7207" width="0" style="4" hidden="1" customWidth="1"/>
    <col min="7208" max="7209" width="9.140625" style="4"/>
    <col min="7210" max="7210" width="10.7109375" style="4" customWidth="1"/>
    <col min="7211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0" style="4" hidden="1" customWidth="1"/>
    <col min="7451" max="7452" width="9.42578125" style="4" customWidth="1"/>
    <col min="7453" max="7453" width="7.85546875" style="4" customWidth="1"/>
    <col min="7454" max="7454" width="10.5703125" style="4" customWidth="1"/>
    <col min="7455" max="7455" width="9.140625" style="4"/>
    <col min="7456" max="7463" width="0" style="4" hidden="1" customWidth="1"/>
    <col min="7464" max="7465" width="9.140625" style="4"/>
    <col min="7466" max="7466" width="10.7109375" style="4" customWidth="1"/>
    <col min="7467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0" style="4" hidden="1" customWidth="1"/>
    <col min="7707" max="7708" width="9.42578125" style="4" customWidth="1"/>
    <col min="7709" max="7709" width="7.85546875" style="4" customWidth="1"/>
    <col min="7710" max="7710" width="10.5703125" style="4" customWidth="1"/>
    <col min="7711" max="7711" width="9.140625" style="4"/>
    <col min="7712" max="7719" width="0" style="4" hidden="1" customWidth="1"/>
    <col min="7720" max="7721" width="9.140625" style="4"/>
    <col min="7722" max="7722" width="10.7109375" style="4" customWidth="1"/>
    <col min="7723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0" style="4" hidden="1" customWidth="1"/>
    <col min="7963" max="7964" width="9.42578125" style="4" customWidth="1"/>
    <col min="7965" max="7965" width="7.85546875" style="4" customWidth="1"/>
    <col min="7966" max="7966" width="10.5703125" style="4" customWidth="1"/>
    <col min="7967" max="7967" width="9.140625" style="4"/>
    <col min="7968" max="7975" width="0" style="4" hidden="1" customWidth="1"/>
    <col min="7976" max="7977" width="9.140625" style="4"/>
    <col min="7978" max="7978" width="10.7109375" style="4" customWidth="1"/>
    <col min="7979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0" style="4" hidden="1" customWidth="1"/>
    <col min="8219" max="8220" width="9.42578125" style="4" customWidth="1"/>
    <col min="8221" max="8221" width="7.85546875" style="4" customWidth="1"/>
    <col min="8222" max="8222" width="10.5703125" style="4" customWidth="1"/>
    <col min="8223" max="8223" width="9.140625" style="4"/>
    <col min="8224" max="8231" width="0" style="4" hidden="1" customWidth="1"/>
    <col min="8232" max="8233" width="9.140625" style="4"/>
    <col min="8234" max="8234" width="10.7109375" style="4" customWidth="1"/>
    <col min="8235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0" style="4" hidden="1" customWidth="1"/>
    <col min="8475" max="8476" width="9.42578125" style="4" customWidth="1"/>
    <col min="8477" max="8477" width="7.85546875" style="4" customWidth="1"/>
    <col min="8478" max="8478" width="10.5703125" style="4" customWidth="1"/>
    <col min="8479" max="8479" width="9.140625" style="4"/>
    <col min="8480" max="8487" width="0" style="4" hidden="1" customWidth="1"/>
    <col min="8488" max="8489" width="9.140625" style="4"/>
    <col min="8490" max="8490" width="10.7109375" style="4" customWidth="1"/>
    <col min="8491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0" style="4" hidden="1" customWidth="1"/>
    <col min="8731" max="8732" width="9.42578125" style="4" customWidth="1"/>
    <col min="8733" max="8733" width="7.85546875" style="4" customWidth="1"/>
    <col min="8734" max="8734" width="10.5703125" style="4" customWidth="1"/>
    <col min="8735" max="8735" width="9.140625" style="4"/>
    <col min="8736" max="8743" width="0" style="4" hidden="1" customWidth="1"/>
    <col min="8744" max="8745" width="9.140625" style="4"/>
    <col min="8746" max="8746" width="10.7109375" style="4" customWidth="1"/>
    <col min="8747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0" style="4" hidden="1" customWidth="1"/>
    <col min="8987" max="8988" width="9.42578125" style="4" customWidth="1"/>
    <col min="8989" max="8989" width="7.85546875" style="4" customWidth="1"/>
    <col min="8990" max="8990" width="10.5703125" style="4" customWidth="1"/>
    <col min="8991" max="8991" width="9.140625" style="4"/>
    <col min="8992" max="8999" width="0" style="4" hidden="1" customWidth="1"/>
    <col min="9000" max="9001" width="9.140625" style="4"/>
    <col min="9002" max="9002" width="10.7109375" style="4" customWidth="1"/>
    <col min="9003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0" style="4" hidden="1" customWidth="1"/>
    <col min="9243" max="9244" width="9.42578125" style="4" customWidth="1"/>
    <col min="9245" max="9245" width="7.85546875" style="4" customWidth="1"/>
    <col min="9246" max="9246" width="10.5703125" style="4" customWidth="1"/>
    <col min="9247" max="9247" width="9.140625" style="4"/>
    <col min="9248" max="9255" width="0" style="4" hidden="1" customWidth="1"/>
    <col min="9256" max="9257" width="9.140625" style="4"/>
    <col min="9258" max="9258" width="10.7109375" style="4" customWidth="1"/>
    <col min="9259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0" style="4" hidden="1" customWidth="1"/>
    <col min="9499" max="9500" width="9.42578125" style="4" customWidth="1"/>
    <col min="9501" max="9501" width="7.85546875" style="4" customWidth="1"/>
    <col min="9502" max="9502" width="10.5703125" style="4" customWidth="1"/>
    <col min="9503" max="9503" width="9.140625" style="4"/>
    <col min="9504" max="9511" width="0" style="4" hidden="1" customWidth="1"/>
    <col min="9512" max="9513" width="9.140625" style="4"/>
    <col min="9514" max="9514" width="10.7109375" style="4" customWidth="1"/>
    <col min="9515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0" style="4" hidden="1" customWidth="1"/>
    <col min="9755" max="9756" width="9.42578125" style="4" customWidth="1"/>
    <col min="9757" max="9757" width="7.85546875" style="4" customWidth="1"/>
    <col min="9758" max="9758" width="10.5703125" style="4" customWidth="1"/>
    <col min="9759" max="9759" width="9.140625" style="4"/>
    <col min="9760" max="9767" width="0" style="4" hidden="1" customWidth="1"/>
    <col min="9768" max="9769" width="9.140625" style="4"/>
    <col min="9770" max="9770" width="10.7109375" style="4" customWidth="1"/>
    <col min="9771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0" style="4" hidden="1" customWidth="1"/>
    <col min="10011" max="10012" width="9.42578125" style="4" customWidth="1"/>
    <col min="10013" max="10013" width="7.85546875" style="4" customWidth="1"/>
    <col min="10014" max="10014" width="10.5703125" style="4" customWidth="1"/>
    <col min="10015" max="10015" width="9.140625" style="4"/>
    <col min="10016" max="10023" width="0" style="4" hidden="1" customWidth="1"/>
    <col min="10024" max="10025" width="9.140625" style="4"/>
    <col min="10026" max="10026" width="10.7109375" style="4" customWidth="1"/>
    <col min="10027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0" style="4" hidden="1" customWidth="1"/>
    <col min="10267" max="10268" width="9.42578125" style="4" customWidth="1"/>
    <col min="10269" max="10269" width="7.85546875" style="4" customWidth="1"/>
    <col min="10270" max="10270" width="10.5703125" style="4" customWidth="1"/>
    <col min="10271" max="10271" width="9.140625" style="4"/>
    <col min="10272" max="10279" width="0" style="4" hidden="1" customWidth="1"/>
    <col min="10280" max="10281" width="9.140625" style="4"/>
    <col min="10282" max="10282" width="10.7109375" style="4" customWidth="1"/>
    <col min="10283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0" style="4" hidden="1" customWidth="1"/>
    <col min="10523" max="10524" width="9.42578125" style="4" customWidth="1"/>
    <col min="10525" max="10525" width="7.85546875" style="4" customWidth="1"/>
    <col min="10526" max="10526" width="10.5703125" style="4" customWidth="1"/>
    <col min="10527" max="10527" width="9.140625" style="4"/>
    <col min="10528" max="10535" width="0" style="4" hidden="1" customWidth="1"/>
    <col min="10536" max="10537" width="9.140625" style="4"/>
    <col min="10538" max="10538" width="10.7109375" style="4" customWidth="1"/>
    <col min="10539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0" style="4" hidden="1" customWidth="1"/>
    <col min="10779" max="10780" width="9.42578125" style="4" customWidth="1"/>
    <col min="10781" max="10781" width="7.85546875" style="4" customWidth="1"/>
    <col min="10782" max="10782" width="10.5703125" style="4" customWidth="1"/>
    <col min="10783" max="10783" width="9.140625" style="4"/>
    <col min="10784" max="10791" width="0" style="4" hidden="1" customWidth="1"/>
    <col min="10792" max="10793" width="9.140625" style="4"/>
    <col min="10794" max="10794" width="10.7109375" style="4" customWidth="1"/>
    <col min="10795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0" style="4" hidden="1" customWidth="1"/>
    <col min="11035" max="11036" width="9.42578125" style="4" customWidth="1"/>
    <col min="11037" max="11037" width="7.85546875" style="4" customWidth="1"/>
    <col min="11038" max="11038" width="10.5703125" style="4" customWidth="1"/>
    <col min="11039" max="11039" width="9.140625" style="4"/>
    <col min="11040" max="11047" width="0" style="4" hidden="1" customWidth="1"/>
    <col min="11048" max="11049" width="9.140625" style="4"/>
    <col min="11050" max="11050" width="10.7109375" style="4" customWidth="1"/>
    <col min="11051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0" style="4" hidden="1" customWidth="1"/>
    <col min="11291" max="11292" width="9.42578125" style="4" customWidth="1"/>
    <col min="11293" max="11293" width="7.85546875" style="4" customWidth="1"/>
    <col min="11294" max="11294" width="10.5703125" style="4" customWidth="1"/>
    <col min="11295" max="11295" width="9.140625" style="4"/>
    <col min="11296" max="11303" width="0" style="4" hidden="1" customWidth="1"/>
    <col min="11304" max="11305" width="9.140625" style="4"/>
    <col min="11306" max="11306" width="10.7109375" style="4" customWidth="1"/>
    <col min="11307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0" style="4" hidden="1" customWidth="1"/>
    <col min="11547" max="11548" width="9.42578125" style="4" customWidth="1"/>
    <col min="11549" max="11549" width="7.85546875" style="4" customWidth="1"/>
    <col min="11550" max="11550" width="10.5703125" style="4" customWidth="1"/>
    <col min="11551" max="11551" width="9.140625" style="4"/>
    <col min="11552" max="11559" width="0" style="4" hidden="1" customWidth="1"/>
    <col min="11560" max="11561" width="9.140625" style="4"/>
    <col min="11562" max="11562" width="10.7109375" style="4" customWidth="1"/>
    <col min="11563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0" style="4" hidden="1" customWidth="1"/>
    <col min="11803" max="11804" width="9.42578125" style="4" customWidth="1"/>
    <col min="11805" max="11805" width="7.85546875" style="4" customWidth="1"/>
    <col min="11806" max="11806" width="10.5703125" style="4" customWidth="1"/>
    <col min="11807" max="11807" width="9.140625" style="4"/>
    <col min="11808" max="11815" width="0" style="4" hidden="1" customWidth="1"/>
    <col min="11816" max="11817" width="9.140625" style="4"/>
    <col min="11818" max="11818" width="10.7109375" style="4" customWidth="1"/>
    <col min="11819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0" style="4" hidden="1" customWidth="1"/>
    <col min="12059" max="12060" width="9.42578125" style="4" customWidth="1"/>
    <col min="12061" max="12061" width="7.85546875" style="4" customWidth="1"/>
    <col min="12062" max="12062" width="10.5703125" style="4" customWidth="1"/>
    <col min="12063" max="12063" width="9.140625" style="4"/>
    <col min="12064" max="12071" width="0" style="4" hidden="1" customWidth="1"/>
    <col min="12072" max="12073" width="9.140625" style="4"/>
    <col min="12074" max="12074" width="10.7109375" style="4" customWidth="1"/>
    <col min="12075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0" style="4" hidden="1" customWidth="1"/>
    <col min="12315" max="12316" width="9.42578125" style="4" customWidth="1"/>
    <col min="12317" max="12317" width="7.85546875" style="4" customWidth="1"/>
    <col min="12318" max="12318" width="10.5703125" style="4" customWidth="1"/>
    <col min="12319" max="12319" width="9.140625" style="4"/>
    <col min="12320" max="12327" width="0" style="4" hidden="1" customWidth="1"/>
    <col min="12328" max="12329" width="9.140625" style="4"/>
    <col min="12330" max="12330" width="10.7109375" style="4" customWidth="1"/>
    <col min="12331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0" style="4" hidden="1" customWidth="1"/>
    <col min="12571" max="12572" width="9.42578125" style="4" customWidth="1"/>
    <col min="12573" max="12573" width="7.85546875" style="4" customWidth="1"/>
    <col min="12574" max="12574" width="10.5703125" style="4" customWidth="1"/>
    <col min="12575" max="12575" width="9.140625" style="4"/>
    <col min="12576" max="12583" width="0" style="4" hidden="1" customWidth="1"/>
    <col min="12584" max="12585" width="9.140625" style="4"/>
    <col min="12586" max="12586" width="10.7109375" style="4" customWidth="1"/>
    <col min="12587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0" style="4" hidden="1" customWidth="1"/>
    <col min="12827" max="12828" width="9.42578125" style="4" customWidth="1"/>
    <col min="12829" max="12829" width="7.85546875" style="4" customWidth="1"/>
    <col min="12830" max="12830" width="10.5703125" style="4" customWidth="1"/>
    <col min="12831" max="12831" width="9.140625" style="4"/>
    <col min="12832" max="12839" width="0" style="4" hidden="1" customWidth="1"/>
    <col min="12840" max="12841" width="9.140625" style="4"/>
    <col min="12842" max="12842" width="10.7109375" style="4" customWidth="1"/>
    <col min="12843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0" style="4" hidden="1" customWidth="1"/>
    <col min="13083" max="13084" width="9.42578125" style="4" customWidth="1"/>
    <col min="13085" max="13085" width="7.85546875" style="4" customWidth="1"/>
    <col min="13086" max="13086" width="10.5703125" style="4" customWidth="1"/>
    <col min="13087" max="13087" width="9.140625" style="4"/>
    <col min="13088" max="13095" width="0" style="4" hidden="1" customWidth="1"/>
    <col min="13096" max="13097" width="9.140625" style="4"/>
    <col min="13098" max="13098" width="10.7109375" style="4" customWidth="1"/>
    <col min="13099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0" style="4" hidden="1" customWidth="1"/>
    <col min="13339" max="13340" width="9.42578125" style="4" customWidth="1"/>
    <col min="13341" max="13341" width="7.85546875" style="4" customWidth="1"/>
    <col min="13342" max="13342" width="10.5703125" style="4" customWidth="1"/>
    <col min="13343" max="13343" width="9.140625" style="4"/>
    <col min="13344" max="13351" width="0" style="4" hidden="1" customWidth="1"/>
    <col min="13352" max="13353" width="9.140625" style="4"/>
    <col min="13354" max="13354" width="10.7109375" style="4" customWidth="1"/>
    <col min="13355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0" style="4" hidden="1" customWidth="1"/>
    <col min="13595" max="13596" width="9.42578125" style="4" customWidth="1"/>
    <col min="13597" max="13597" width="7.85546875" style="4" customWidth="1"/>
    <col min="13598" max="13598" width="10.5703125" style="4" customWidth="1"/>
    <col min="13599" max="13599" width="9.140625" style="4"/>
    <col min="13600" max="13607" width="0" style="4" hidden="1" customWidth="1"/>
    <col min="13608" max="13609" width="9.140625" style="4"/>
    <col min="13610" max="13610" width="10.7109375" style="4" customWidth="1"/>
    <col min="13611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0" style="4" hidden="1" customWidth="1"/>
    <col min="13851" max="13852" width="9.42578125" style="4" customWidth="1"/>
    <col min="13853" max="13853" width="7.85546875" style="4" customWidth="1"/>
    <col min="13854" max="13854" width="10.5703125" style="4" customWidth="1"/>
    <col min="13855" max="13855" width="9.140625" style="4"/>
    <col min="13856" max="13863" width="0" style="4" hidden="1" customWidth="1"/>
    <col min="13864" max="13865" width="9.140625" style="4"/>
    <col min="13866" max="13866" width="10.7109375" style="4" customWidth="1"/>
    <col min="13867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0" style="4" hidden="1" customWidth="1"/>
    <col min="14107" max="14108" width="9.42578125" style="4" customWidth="1"/>
    <col min="14109" max="14109" width="7.85546875" style="4" customWidth="1"/>
    <col min="14110" max="14110" width="10.5703125" style="4" customWidth="1"/>
    <col min="14111" max="14111" width="9.140625" style="4"/>
    <col min="14112" max="14119" width="0" style="4" hidden="1" customWidth="1"/>
    <col min="14120" max="14121" width="9.140625" style="4"/>
    <col min="14122" max="14122" width="10.7109375" style="4" customWidth="1"/>
    <col min="14123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0" style="4" hidden="1" customWidth="1"/>
    <col min="14363" max="14364" width="9.42578125" style="4" customWidth="1"/>
    <col min="14365" max="14365" width="7.85546875" style="4" customWidth="1"/>
    <col min="14366" max="14366" width="10.5703125" style="4" customWidth="1"/>
    <col min="14367" max="14367" width="9.140625" style="4"/>
    <col min="14368" max="14375" width="0" style="4" hidden="1" customWidth="1"/>
    <col min="14376" max="14377" width="9.140625" style="4"/>
    <col min="14378" max="14378" width="10.7109375" style="4" customWidth="1"/>
    <col min="14379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0" style="4" hidden="1" customWidth="1"/>
    <col min="14619" max="14620" width="9.42578125" style="4" customWidth="1"/>
    <col min="14621" max="14621" width="7.85546875" style="4" customWidth="1"/>
    <col min="14622" max="14622" width="10.5703125" style="4" customWidth="1"/>
    <col min="14623" max="14623" width="9.140625" style="4"/>
    <col min="14624" max="14631" width="0" style="4" hidden="1" customWidth="1"/>
    <col min="14632" max="14633" width="9.140625" style="4"/>
    <col min="14634" max="14634" width="10.7109375" style="4" customWidth="1"/>
    <col min="14635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0" style="4" hidden="1" customWidth="1"/>
    <col min="14875" max="14876" width="9.42578125" style="4" customWidth="1"/>
    <col min="14877" max="14877" width="7.85546875" style="4" customWidth="1"/>
    <col min="14878" max="14878" width="10.5703125" style="4" customWidth="1"/>
    <col min="14879" max="14879" width="9.140625" style="4"/>
    <col min="14880" max="14887" width="0" style="4" hidden="1" customWidth="1"/>
    <col min="14888" max="14889" width="9.140625" style="4"/>
    <col min="14890" max="14890" width="10.7109375" style="4" customWidth="1"/>
    <col min="14891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0" style="4" hidden="1" customWidth="1"/>
    <col min="15131" max="15132" width="9.42578125" style="4" customWidth="1"/>
    <col min="15133" max="15133" width="7.85546875" style="4" customWidth="1"/>
    <col min="15134" max="15134" width="10.5703125" style="4" customWidth="1"/>
    <col min="15135" max="15135" width="9.140625" style="4"/>
    <col min="15136" max="15143" width="0" style="4" hidden="1" customWidth="1"/>
    <col min="15144" max="15145" width="9.140625" style="4"/>
    <col min="15146" max="15146" width="10.7109375" style="4" customWidth="1"/>
    <col min="15147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0" style="4" hidden="1" customWidth="1"/>
    <col min="15387" max="15388" width="9.42578125" style="4" customWidth="1"/>
    <col min="15389" max="15389" width="7.85546875" style="4" customWidth="1"/>
    <col min="15390" max="15390" width="10.5703125" style="4" customWidth="1"/>
    <col min="15391" max="15391" width="9.140625" style="4"/>
    <col min="15392" max="15399" width="0" style="4" hidden="1" customWidth="1"/>
    <col min="15400" max="15401" width="9.140625" style="4"/>
    <col min="15402" max="15402" width="10.7109375" style="4" customWidth="1"/>
    <col min="15403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0" style="4" hidden="1" customWidth="1"/>
    <col min="15643" max="15644" width="9.42578125" style="4" customWidth="1"/>
    <col min="15645" max="15645" width="7.85546875" style="4" customWidth="1"/>
    <col min="15646" max="15646" width="10.5703125" style="4" customWidth="1"/>
    <col min="15647" max="15647" width="9.140625" style="4"/>
    <col min="15648" max="15655" width="0" style="4" hidden="1" customWidth="1"/>
    <col min="15656" max="15657" width="9.140625" style="4"/>
    <col min="15658" max="15658" width="10.7109375" style="4" customWidth="1"/>
    <col min="15659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0" style="4" hidden="1" customWidth="1"/>
    <col min="15899" max="15900" width="9.42578125" style="4" customWidth="1"/>
    <col min="15901" max="15901" width="7.85546875" style="4" customWidth="1"/>
    <col min="15902" max="15902" width="10.5703125" style="4" customWidth="1"/>
    <col min="15903" max="15903" width="9.140625" style="4"/>
    <col min="15904" max="15911" width="0" style="4" hidden="1" customWidth="1"/>
    <col min="15912" max="15913" width="9.140625" style="4"/>
    <col min="15914" max="15914" width="10.7109375" style="4" customWidth="1"/>
    <col min="15915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0" style="4" hidden="1" customWidth="1"/>
    <col min="16155" max="16156" width="9.42578125" style="4" customWidth="1"/>
    <col min="16157" max="16157" width="7.85546875" style="4" customWidth="1"/>
    <col min="16158" max="16158" width="10.5703125" style="4" customWidth="1"/>
    <col min="16159" max="16159" width="9.140625" style="4"/>
    <col min="16160" max="16167" width="0" style="4" hidden="1" customWidth="1"/>
    <col min="16168" max="16169" width="9.140625" style="4"/>
    <col min="16170" max="16170" width="10.7109375" style="4" customWidth="1"/>
    <col min="16171" max="16384" width="9.140625" style="4"/>
  </cols>
  <sheetData>
    <row r="1" spans="1:47" ht="23.25" customHeight="1" x14ac:dyDescent="0.25">
      <c r="A1" s="1" t="s">
        <v>0</v>
      </c>
      <c r="B1" s="1"/>
      <c r="C1" s="1"/>
      <c r="D1" s="1"/>
      <c r="E1" s="2"/>
      <c r="F1" s="3"/>
    </row>
    <row r="2" spans="1:47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47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F3" s="15" t="s">
        <v>3</v>
      </c>
      <c r="AG3" s="15"/>
      <c r="AH3" s="15"/>
      <c r="AI3" s="15"/>
      <c r="AJ3" s="15"/>
      <c r="AK3" s="15"/>
      <c r="AL3" s="15"/>
      <c r="AM3" s="15"/>
    </row>
    <row r="4" spans="1:47" s="17" customFormat="1" ht="23.25" customHeight="1" x14ac:dyDescent="0.25">
      <c r="A4" s="16" t="s">
        <v>107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8" t="s">
        <v>4</v>
      </c>
      <c r="AG4" s="18"/>
      <c r="AH4" s="18"/>
      <c r="AI4" s="18"/>
      <c r="AJ4" s="18"/>
      <c r="AK4" s="18"/>
      <c r="AL4" s="18"/>
      <c r="AM4" s="18"/>
    </row>
    <row r="5" spans="1:47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106</v>
      </c>
      <c r="AD5" s="19" t="s">
        <v>23</v>
      </c>
      <c r="AF5" s="20" t="s">
        <v>5</v>
      </c>
      <c r="AG5" s="20" t="s">
        <v>6</v>
      </c>
      <c r="AH5" s="20" t="s">
        <v>7</v>
      </c>
      <c r="AI5" s="19" t="s">
        <v>24</v>
      </c>
      <c r="AJ5" s="20" t="s">
        <v>25</v>
      </c>
      <c r="AK5" s="19" t="s">
        <v>26</v>
      </c>
      <c r="AL5" s="20" t="s">
        <v>27</v>
      </c>
      <c r="AM5" s="20" t="s">
        <v>28</v>
      </c>
    </row>
    <row r="6" spans="1:47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  <c r="AF6" s="34"/>
      <c r="AG6" s="34"/>
      <c r="AH6" s="34"/>
      <c r="AI6" s="33"/>
      <c r="AJ6" s="34"/>
      <c r="AK6" s="33"/>
      <c r="AL6" s="34"/>
      <c r="AM6" s="34"/>
    </row>
    <row r="7" spans="1:47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  <c r="AF7" s="42"/>
      <c r="AG7" s="42"/>
      <c r="AH7" s="42"/>
      <c r="AI7" s="43"/>
      <c r="AJ7" s="42"/>
      <c r="AK7" s="43"/>
      <c r="AL7" s="42"/>
      <c r="AM7" s="42"/>
    </row>
    <row r="8" spans="1:47" s="1" customFormat="1" ht="33" customHeight="1" x14ac:dyDescent="0.25">
      <c r="A8" s="51">
        <v>1</v>
      </c>
      <c r="B8" s="52" t="s">
        <v>41</v>
      </c>
      <c r="C8" s="52" t="s">
        <v>42</v>
      </c>
      <c r="D8" s="53">
        <v>1000</v>
      </c>
      <c r="E8" s="54">
        <v>4102.3999999999996</v>
      </c>
      <c r="F8" s="55">
        <v>25.5</v>
      </c>
      <c r="G8" s="56">
        <v>1550</v>
      </c>
      <c r="H8" s="54">
        <v>6429.9999999999991</v>
      </c>
      <c r="I8" s="54">
        <v>222</v>
      </c>
      <c r="J8" s="57"/>
      <c r="K8" s="54">
        <v>800</v>
      </c>
      <c r="L8" s="6">
        <v>2600</v>
      </c>
      <c r="M8" s="54">
        <v>1500</v>
      </c>
      <c r="N8" s="58">
        <v>1141.048</v>
      </c>
      <c r="O8" s="54">
        <v>765</v>
      </c>
      <c r="P8" s="54">
        <v>100</v>
      </c>
      <c r="Q8" s="59"/>
      <c r="R8" s="60">
        <v>299</v>
      </c>
      <c r="S8" s="61">
        <v>20618.143652173912</v>
      </c>
      <c r="T8" s="62"/>
      <c r="U8" s="63">
        <v>1698.3040000000001</v>
      </c>
      <c r="V8" s="53">
        <v>30</v>
      </c>
      <c r="W8" s="54">
        <v>645</v>
      </c>
      <c r="X8" s="54">
        <v>190.6</v>
      </c>
      <c r="Y8" s="64"/>
      <c r="Z8" s="64"/>
      <c r="AA8" s="65">
        <v>2563.904</v>
      </c>
      <c r="AB8" s="65">
        <v>18054.239652173914</v>
      </c>
      <c r="AC8" s="66">
        <v>100</v>
      </c>
      <c r="AD8" s="65">
        <v>17954.239652173914</v>
      </c>
      <c r="AE8" s="67">
        <v>4102.3999999999996</v>
      </c>
      <c r="AF8" s="51"/>
      <c r="AG8" s="68"/>
      <c r="AH8" s="69"/>
      <c r="AI8" s="70"/>
      <c r="AJ8" s="71"/>
      <c r="AK8" s="72"/>
      <c r="AL8" s="57"/>
      <c r="AM8" s="70"/>
      <c r="AN8" s="73">
        <v>-2897.6000000000004</v>
      </c>
      <c r="AO8" s="73">
        <v>-869.28000000000009</v>
      </c>
      <c r="AR8" s="73">
        <v>20571.948</v>
      </c>
      <c r="AS8" s="73">
        <v>46.195652173912094</v>
      </c>
      <c r="AT8" s="74">
        <v>2563.904</v>
      </c>
      <c r="AU8" s="73">
        <v>0</v>
      </c>
    </row>
    <row r="9" spans="1:47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7059.1200000000008</v>
      </c>
      <c r="F9" s="55">
        <v>27</v>
      </c>
      <c r="G9" s="56">
        <v>1840</v>
      </c>
      <c r="H9" s="54">
        <v>550</v>
      </c>
      <c r="I9" s="54">
        <v>1002</v>
      </c>
      <c r="J9" s="57"/>
      <c r="K9" s="54">
        <v>700</v>
      </c>
      <c r="L9" s="75">
        <v>800</v>
      </c>
      <c r="M9" s="54"/>
      <c r="N9" s="58">
        <v>1141.048</v>
      </c>
      <c r="O9" s="54">
        <v>810</v>
      </c>
      <c r="P9" s="54">
        <v>100</v>
      </c>
      <c r="Q9" s="59">
        <v>17.736000000000239</v>
      </c>
      <c r="R9" s="54">
        <v>191</v>
      </c>
      <c r="S9" s="61">
        <v>15267.425739130435</v>
      </c>
      <c r="T9" s="62"/>
      <c r="U9" s="63">
        <v>1698.3040000000001</v>
      </c>
      <c r="V9" s="53">
        <v>30</v>
      </c>
      <c r="W9" s="54">
        <v>660</v>
      </c>
      <c r="X9" s="54">
        <v>120.709</v>
      </c>
      <c r="Y9" s="64"/>
      <c r="Z9" s="64"/>
      <c r="AA9" s="65">
        <v>2509.0129999999999</v>
      </c>
      <c r="AB9" s="65">
        <v>12758.412739130436</v>
      </c>
      <c r="AC9" s="66">
        <v>100</v>
      </c>
      <c r="AD9" s="65">
        <v>12658.412739130436</v>
      </c>
      <c r="AE9" s="67">
        <v>7059.1200000000008</v>
      </c>
      <c r="AF9" s="51">
        <v>23</v>
      </c>
      <c r="AG9" s="68" t="s">
        <v>44</v>
      </c>
      <c r="AH9" s="69" t="s">
        <v>45</v>
      </c>
      <c r="AI9" s="70">
        <v>50000</v>
      </c>
      <c r="AJ9" s="71">
        <v>11</v>
      </c>
      <c r="AK9" s="72"/>
      <c r="AL9" s="57">
        <v>550000</v>
      </c>
      <c r="AM9" s="70"/>
      <c r="AN9" s="73">
        <v>59.1200000000008</v>
      </c>
      <c r="AO9" s="73">
        <v>17.736000000000239</v>
      </c>
      <c r="AP9" s="1"/>
      <c r="AQ9" s="73"/>
      <c r="AR9" s="73">
        <v>15223.404</v>
      </c>
      <c r="AS9" s="73">
        <v>44.021739130434071</v>
      </c>
      <c r="AT9" s="74">
        <v>2509.0129999999999</v>
      </c>
      <c r="AU9" s="73">
        <v>0</v>
      </c>
    </row>
    <row r="10" spans="1:47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8121.96</v>
      </c>
      <c r="F10" s="55">
        <v>26.5</v>
      </c>
      <c r="G10" s="56">
        <v>155</v>
      </c>
      <c r="H10" s="54"/>
      <c r="I10" s="54">
        <v>1168</v>
      </c>
      <c r="J10" s="57"/>
      <c r="K10" s="54">
        <v>450</v>
      </c>
      <c r="L10" s="75"/>
      <c r="M10" s="54"/>
      <c r="N10" s="58">
        <v>1141.048</v>
      </c>
      <c r="O10" s="54">
        <v>795</v>
      </c>
      <c r="P10" s="54">
        <v>100</v>
      </c>
      <c r="Q10" s="59">
        <v>336.58800000000002</v>
      </c>
      <c r="R10" s="60">
        <v>461</v>
      </c>
      <c r="S10" s="61">
        <v>13304.682956521739</v>
      </c>
      <c r="T10" s="62"/>
      <c r="U10" s="63">
        <v>1698.3040000000001</v>
      </c>
      <c r="V10" s="53">
        <v>30</v>
      </c>
      <c r="W10" s="54">
        <v>675</v>
      </c>
      <c r="X10" s="54">
        <v>156.07</v>
      </c>
      <c r="Y10" s="64"/>
      <c r="Z10" s="64"/>
      <c r="AA10" s="65">
        <v>2559.3740000000003</v>
      </c>
      <c r="AB10" s="65">
        <v>10745.30895652174</v>
      </c>
      <c r="AC10" s="66">
        <v>100</v>
      </c>
      <c r="AD10" s="65">
        <v>10645.30895652174</v>
      </c>
      <c r="AE10" s="67">
        <v>8121.96</v>
      </c>
      <c r="AF10" s="51"/>
      <c r="AG10" s="68"/>
      <c r="AH10" s="69"/>
      <c r="AI10" s="70"/>
      <c r="AJ10" s="71"/>
      <c r="AK10" s="72"/>
      <c r="AL10" s="57"/>
      <c r="AM10" s="70"/>
      <c r="AN10" s="73">
        <v>1121.96</v>
      </c>
      <c r="AO10" s="73">
        <v>336.58800000000002</v>
      </c>
      <c r="AR10" s="73"/>
      <c r="AS10" s="73"/>
      <c r="AT10" s="74"/>
      <c r="AU10" s="73"/>
    </row>
    <row r="11" spans="1:47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3742.6000000000004</v>
      </c>
      <c r="F11" s="55">
        <v>26.5</v>
      </c>
      <c r="G11" s="56">
        <v>1455</v>
      </c>
      <c r="H11" s="54">
        <v>3900</v>
      </c>
      <c r="I11" s="54">
        <v>539</v>
      </c>
      <c r="J11" s="57"/>
      <c r="K11" s="54">
        <v>700</v>
      </c>
      <c r="L11" s="75">
        <v>200</v>
      </c>
      <c r="M11" s="54"/>
      <c r="N11" s="58">
        <v>1141.048</v>
      </c>
      <c r="O11" s="54">
        <v>795</v>
      </c>
      <c r="P11" s="54"/>
      <c r="Q11" s="59"/>
      <c r="R11" s="60">
        <v>203</v>
      </c>
      <c r="S11" s="61">
        <v>13482.169739130433</v>
      </c>
      <c r="T11" s="62"/>
      <c r="U11" s="63">
        <v>1698.3040000000001</v>
      </c>
      <c r="V11" s="53">
        <v>30</v>
      </c>
      <c r="W11" s="54">
        <v>705</v>
      </c>
      <c r="X11" s="54"/>
      <c r="Y11" s="64"/>
      <c r="Z11" s="64"/>
      <c r="AA11" s="65">
        <v>2433.3040000000001</v>
      </c>
      <c r="AB11" s="65">
        <v>11048.865739130433</v>
      </c>
      <c r="AC11" s="66">
        <v>100</v>
      </c>
      <c r="AD11" s="65">
        <v>10948.865739130433</v>
      </c>
      <c r="AE11" s="67">
        <v>3742.6000000000004</v>
      </c>
      <c r="AF11" s="51"/>
      <c r="AG11" s="68"/>
      <c r="AH11" s="69"/>
      <c r="AI11" s="70"/>
      <c r="AJ11" s="71"/>
      <c r="AK11" s="72"/>
      <c r="AL11" s="57"/>
      <c r="AM11" s="70"/>
      <c r="AN11" s="73">
        <v>-3257.3999999999996</v>
      </c>
      <c r="AO11" s="73">
        <v>-977.2199999999998</v>
      </c>
      <c r="AR11" s="73"/>
      <c r="AS11" s="73"/>
      <c r="AT11" s="74"/>
      <c r="AU11" s="73"/>
    </row>
    <row r="12" spans="1:47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4412.16</v>
      </c>
      <c r="F12" s="55">
        <v>25.5</v>
      </c>
      <c r="G12" s="56">
        <v>2960</v>
      </c>
      <c r="H12" s="54">
        <v>5200</v>
      </c>
      <c r="I12" s="54">
        <v>425</v>
      </c>
      <c r="J12" s="57"/>
      <c r="K12" s="54">
        <v>600</v>
      </c>
      <c r="L12" s="75">
        <v>200</v>
      </c>
      <c r="M12" s="54"/>
      <c r="N12" s="58">
        <v>1141.048</v>
      </c>
      <c r="O12" s="54">
        <v>765</v>
      </c>
      <c r="P12" s="54"/>
      <c r="Q12" s="59"/>
      <c r="R12" s="60">
        <v>110</v>
      </c>
      <c r="S12" s="61">
        <v>16700.164521739131</v>
      </c>
      <c r="T12" s="62"/>
      <c r="U12" s="63">
        <v>1698.3040000000001</v>
      </c>
      <c r="V12" s="53">
        <v>30</v>
      </c>
      <c r="W12" s="54">
        <v>675</v>
      </c>
      <c r="X12" s="54"/>
      <c r="Y12" s="64"/>
      <c r="Z12" s="64"/>
      <c r="AA12" s="65">
        <v>2403.3040000000001</v>
      </c>
      <c r="AB12" s="65">
        <v>14296.86052173913</v>
      </c>
      <c r="AC12" s="66">
        <v>100</v>
      </c>
      <c r="AD12" s="65">
        <v>14196.86052173913</v>
      </c>
      <c r="AE12" s="67">
        <v>4412.16</v>
      </c>
      <c r="AF12" s="51"/>
      <c r="AG12" s="68"/>
      <c r="AH12" s="69"/>
      <c r="AI12" s="70"/>
      <c r="AJ12" s="71"/>
      <c r="AK12" s="72"/>
      <c r="AL12" s="57"/>
      <c r="AM12" s="70"/>
      <c r="AN12" s="73">
        <v>-2587.84</v>
      </c>
      <c r="AO12" s="73">
        <v>-776.35199999999998</v>
      </c>
      <c r="AR12" s="73"/>
      <c r="AS12" s="73"/>
      <c r="AT12" s="74"/>
      <c r="AU12" s="73"/>
    </row>
    <row r="13" spans="1:47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8774.34</v>
      </c>
      <c r="F13" s="55">
        <v>26.5</v>
      </c>
      <c r="G13" s="56">
        <v>1460</v>
      </c>
      <c r="H13" s="54">
        <v>400</v>
      </c>
      <c r="I13" s="54">
        <v>1166</v>
      </c>
      <c r="J13" s="57"/>
      <c r="K13" s="54">
        <v>750</v>
      </c>
      <c r="L13" s="75">
        <v>400</v>
      </c>
      <c r="M13" s="54"/>
      <c r="N13" s="58">
        <v>1141.048</v>
      </c>
      <c r="O13" s="54">
        <v>795</v>
      </c>
      <c r="P13" s="54">
        <v>100</v>
      </c>
      <c r="Q13" s="59">
        <v>532.30200000000002</v>
      </c>
      <c r="R13" s="60">
        <v>55</v>
      </c>
      <c r="S13" s="61">
        <v>16264.994347826087</v>
      </c>
      <c r="T13" s="62"/>
      <c r="U13" s="63">
        <v>1698.3040000000001</v>
      </c>
      <c r="V13" s="53">
        <v>30</v>
      </c>
      <c r="W13" s="54">
        <v>615</v>
      </c>
      <c r="X13" s="54">
        <v>139.45699999999999</v>
      </c>
      <c r="Y13" s="64"/>
      <c r="Z13" s="64"/>
      <c r="AA13" s="65">
        <v>2482.761</v>
      </c>
      <c r="AB13" s="65">
        <v>13782.233347826086</v>
      </c>
      <c r="AC13" s="66">
        <v>100</v>
      </c>
      <c r="AD13" s="65">
        <v>13682.233347826086</v>
      </c>
      <c r="AE13" s="67">
        <v>8774.34</v>
      </c>
      <c r="AF13" s="51"/>
      <c r="AG13" s="68"/>
      <c r="AH13" s="69"/>
      <c r="AI13" s="70"/>
      <c r="AJ13" s="71"/>
      <c r="AK13" s="72"/>
      <c r="AL13" s="57"/>
      <c r="AM13" s="70"/>
      <c r="AN13" s="73">
        <v>1774.3400000000001</v>
      </c>
      <c r="AO13" s="73">
        <v>532.30200000000002</v>
      </c>
      <c r="AR13" s="73"/>
      <c r="AS13" s="73"/>
      <c r="AT13" s="74"/>
      <c r="AU13" s="73"/>
    </row>
    <row r="14" spans="1:47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5133.9799999999996</v>
      </c>
      <c r="F14" s="55">
        <v>24</v>
      </c>
      <c r="G14" s="56">
        <v>695</v>
      </c>
      <c r="H14" s="54">
        <v>2150</v>
      </c>
      <c r="I14" s="54">
        <v>797</v>
      </c>
      <c r="J14" s="57"/>
      <c r="K14" s="54">
        <v>350</v>
      </c>
      <c r="L14" s="75"/>
      <c r="M14" s="54"/>
      <c r="N14" s="58">
        <v>1141.048</v>
      </c>
      <c r="O14" s="54">
        <v>720</v>
      </c>
      <c r="P14" s="54">
        <v>100</v>
      </c>
      <c r="Q14" s="59"/>
      <c r="R14" s="60"/>
      <c r="S14" s="61">
        <v>11295.723652173912</v>
      </c>
      <c r="T14" s="62"/>
      <c r="U14" s="63">
        <v>1698.3040000000001</v>
      </c>
      <c r="V14" s="53">
        <v>30</v>
      </c>
      <c r="W14" s="54">
        <v>600</v>
      </c>
      <c r="X14" s="54">
        <v>120</v>
      </c>
      <c r="Y14" s="64"/>
      <c r="Z14" s="64"/>
      <c r="AA14" s="65">
        <v>2448.3040000000001</v>
      </c>
      <c r="AB14" s="65">
        <v>8847.4196521739123</v>
      </c>
      <c r="AC14" s="66">
        <v>100</v>
      </c>
      <c r="AD14" s="65">
        <v>8747.4196521739123</v>
      </c>
      <c r="AE14" s="67">
        <v>5133.9799999999996</v>
      </c>
      <c r="AF14" s="51"/>
      <c r="AG14" s="68"/>
      <c r="AH14" s="69"/>
      <c r="AI14" s="70"/>
      <c r="AJ14" s="71"/>
      <c r="AK14" s="72"/>
      <c r="AL14" s="57"/>
      <c r="AM14" s="70"/>
      <c r="AN14" s="73">
        <v>-1866.0200000000004</v>
      </c>
      <c r="AO14" s="73">
        <v>-559.80600000000015</v>
      </c>
      <c r="AR14" s="73"/>
      <c r="AS14" s="73"/>
      <c r="AT14" s="74"/>
      <c r="AU14" s="73"/>
    </row>
    <row r="15" spans="1:47" ht="33" customHeight="1" x14ac:dyDescent="0.25">
      <c r="A15" s="26" t="s">
        <v>54</v>
      </c>
      <c r="B15" s="31"/>
      <c r="C15" s="87"/>
      <c r="D15" s="62"/>
      <c r="E15" s="88">
        <v>41346.559999999998</v>
      </c>
      <c r="F15" s="89"/>
      <c r="G15" s="90">
        <v>10115</v>
      </c>
      <c r="H15" s="90">
        <v>18630</v>
      </c>
      <c r="I15" s="90">
        <v>5319</v>
      </c>
      <c r="J15" s="90">
        <v>0</v>
      </c>
      <c r="K15" s="90">
        <v>4350</v>
      </c>
      <c r="L15" s="90">
        <v>4200</v>
      </c>
      <c r="M15" s="90">
        <v>1500</v>
      </c>
      <c r="N15" s="90">
        <v>7987.3359999999993</v>
      </c>
      <c r="O15" s="90">
        <v>5445</v>
      </c>
      <c r="P15" s="90">
        <v>500</v>
      </c>
      <c r="Q15" s="90">
        <v>886.6260000000002</v>
      </c>
      <c r="R15" s="90">
        <v>1319</v>
      </c>
      <c r="S15" s="90">
        <v>106933.30460869565</v>
      </c>
      <c r="T15" s="90">
        <v>0</v>
      </c>
      <c r="U15" s="90">
        <v>11888.128000000001</v>
      </c>
      <c r="V15" s="90">
        <v>210</v>
      </c>
      <c r="W15" s="90">
        <v>4575</v>
      </c>
      <c r="X15" s="90">
        <v>726.83600000000001</v>
      </c>
      <c r="Y15" s="90">
        <v>0</v>
      </c>
      <c r="Z15" s="90">
        <v>0</v>
      </c>
      <c r="AA15" s="90">
        <v>17399.964</v>
      </c>
      <c r="AB15" s="90">
        <v>89533.340608695638</v>
      </c>
      <c r="AC15" s="90">
        <v>700</v>
      </c>
      <c r="AD15" s="90">
        <v>88833.340608695638</v>
      </c>
    </row>
    <row r="16" spans="1:47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42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 t="s">
        <v>55</v>
      </c>
      <c r="AA17" s="96"/>
      <c r="AB17" s="96"/>
      <c r="AC17" s="93"/>
      <c r="AD17" s="96"/>
    </row>
    <row r="18" spans="1:42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42" x14ac:dyDescent="0.25">
      <c r="B19" s="1"/>
      <c r="D19" s="6"/>
      <c r="H19" s="67"/>
      <c r="O19" s="6"/>
      <c r="S19" s="100"/>
      <c r="T19" s="100"/>
      <c r="X19" s="101"/>
      <c r="AA19" s="6"/>
    </row>
    <row r="20" spans="1:42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42" x14ac:dyDescent="0.25">
      <c r="B21" s="1"/>
      <c r="D21" s="6"/>
      <c r="O21" s="6"/>
      <c r="S21" s="104"/>
      <c r="T21" s="100"/>
      <c r="U21" s="103"/>
      <c r="AA21" s="6"/>
      <c r="AP21" s="67"/>
    </row>
    <row r="22" spans="1:42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F22" s="109"/>
      <c r="AH22" s="109"/>
      <c r="AJ22" s="109"/>
      <c r="AK22" s="109"/>
      <c r="AP22" s="114"/>
    </row>
    <row r="23" spans="1:42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N23" s="67"/>
      <c r="AP23" s="67"/>
    </row>
    <row r="24" spans="1:42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P24" s="67"/>
    </row>
    <row r="25" spans="1:42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P25" s="67"/>
    </row>
    <row r="26" spans="1:42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N26" s="67"/>
      <c r="AP26" s="67"/>
    </row>
    <row r="27" spans="1:42" s="1" customFormat="1" x14ac:dyDescent="0.25">
      <c r="E27" s="73"/>
      <c r="F27" s="98"/>
      <c r="L27" s="32"/>
      <c r="AF27" s="6"/>
      <c r="AG27" s="4"/>
      <c r="AH27" s="6"/>
      <c r="AI27" s="4"/>
      <c r="AJ27" s="6"/>
      <c r="AK27" s="6"/>
      <c r="AL27" s="4"/>
      <c r="AM27" s="4"/>
      <c r="AP27" s="67"/>
    </row>
    <row r="28" spans="1:42" x14ac:dyDescent="0.25">
      <c r="AP28" s="67"/>
    </row>
    <row r="29" spans="1:42" x14ac:dyDescent="0.25">
      <c r="W29" s="103"/>
      <c r="AP29" s="67"/>
    </row>
    <row r="30" spans="1:42" x14ac:dyDescent="0.25">
      <c r="W30" s="103"/>
      <c r="AP30" s="67"/>
    </row>
    <row r="31" spans="1:42" x14ac:dyDescent="0.25">
      <c r="A31" s="8"/>
      <c r="B31" s="8"/>
      <c r="O31" s="103"/>
      <c r="AP31" s="67"/>
    </row>
    <row r="32" spans="1:42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P32" s="67"/>
    </row>
    <row r="33" spans="1:45" x14ac:dyDescent="0.25">
      <c r="A33" s="8"/>
      <c r="B33" s="8"/>
      <c r="AP33" s="67"/>
    </row>
    <row r="34" spans="1:45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F34" s="6"/>
      <c r="AG34" s="4"/>
      <c r="AH34" s="6"/>
      <c r="AI34" s="4"/>
      <c r="AJ34" s="6"/>
      <c r="AK34" s="6"/>
      <c r="AL34" s="4"/>
      <c r="AM34" s="4"/>
      <c r="AP34" s="67"/>
    </row>
    <row r="35" spans="1:45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F35" s="6"/>
      <c r="AG35" s="4"/>
      <c r="AH35" s="6"/>
      <c r="AI35" s="4"/>
      <c r="AJ35" s="6"/>
      <c r="AK35" s="6"/>
      <c r="AL35" s="4"/>
      <c r="AM35" s="4"/>
      <c r="AP35" s="67"/>
    </row>
    <row r="36" spans="1:45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F36" s="6"/>
      <c r="AG36" s="4"/>
      <c r="AH36" s="6"/>
      <c r="AI36" s="4"/>
      <c r="AJ36" s="6"/>
      <c r="AK36" s="6"/>
      <c r="AL36" s="4"/>
      <c r="AM36" s="4"/>
      <c r="AP36" s="67"/>
    </row>
    <row r="37" spans="1:45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F37" s="6"/>
      <c r="AG37" s="4"/>
      <c r="AH37" s="6"/>
      <c r="AI37" s="4"/>
      <c r="AJ37" s="6"/>
      <c r="AK37" s="6"/>
      <c r="AL37" s="4"/>
      <c r="AM37" s="4"/>
      <c r="AP37" s="67"/>
    </row>
    <row r="38" spans="1:45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6"/>
      <c r="AG38" s="4" t="s">
        <v>62</v>
      </c>
      <c r="AH38" s="6"/>
      <c r="AI38" s="4"/>
      <c r="AJ38" s="6"/>
      <c r="AK38" s="6"/>
      <c r="AL38" s="4"/>
      <c r="AM38" s="4"/>
      <c r="AN38" s="119"/>
      <c r="AO38" s="4"/>
      <c r="AP38" s="67"/>
      <c r="AQ38" s="4"/>
      <c r="AR38" s="4"/>
      <c r="AS38" s="4"/>
    </row>
    <row r="39" spans="1:45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120" t="s">
        <v>63</v>
      </c>
      <c r="AG39" s="4"/>
      <c r="AH39" s="6"/>
      <c r="AI39" s="4"/>
      <c r="AJ39" s="6"/>
      <c r="AK39" s="6"/>
      <c r="AL39" s="4"/>
      <c r="AM39" s="4"/>
      <c r="AN39" s="4"/>
      <c r="AO39" s="4"/>
      <c r="AP39" s="67"/>
      <c r="AQ39" s="4"/>
    </row>
    <row r="40" spans="1:45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120" t="s">
        <v>64</v>
      </c>
      <c r="AG40" s="4"/>
      <c r="AH40" s="6"/>
      <c r="AI40" s="4"/>
      <c r="AJ40" s="6"/>
      <c r="AK40" s="6"/>
      <c r="AL40" s="4"/>
      <c r="AM40" s="4"/>
      <c r="AN40" s="4"/>
      <c r="AO40" s="4"/>
      <c r="AP40" s="67"/>
      <c r="AQ40" s="4"/>
    </row>
    <row r="41" spans="1:45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120" t="s">
        <v>65</v>
      </c>
      <c r="AG41" s="4"/>
      <c r="AH41" s="6"/>
      <c r="AI41" s="4"/>
      <c r="AJ41" s="6"/>
      <c r="AK41" s="6"/>
      <c r="AL41" s="4"/>
      <c r="AM41" s="4"/>
      <c r="AN41" s="4"/>
      <c r="AO41" s="4"/>
      <c r="AP41" s="67"/>
      <c r="AQ41" s="4"/>
    </row>
    <row r="42" spans="1:45" x14ac:dyDescent="0.25">
      <c r="AP42" s="67"/>
    </row>
    <row r="43" spans="1:45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6"/>
      <c r="AG43" s="4"/>
      <c r="AH43" s="6"/>
      <c r="AI43" s="4"/>
      <c r="AJ43" s="6"/>
      <c r="AK43" s="6"/>
      <c r="AL43" s="4"/>
      <c r="AM43" s="4"/>
      <c r="AN43" s="4"/>
      <c r="AO43" s="4"/>
      <c r="AP43" s="67"/>
      <c r="AQ43" s="4"/>
    </row>
    <row r="44" spans="1:45" x14ac:dyDescent="0.25">
      <c r="AP44" s="67"/>
    </row>
    <row r="45" spans="1:45" x14ac:dyDescent="0.25">
      <c r="AP45" s="67"/>
    </row>
    <row r="46" spans="1:45" x14ac:dyDescent="0.25">
      <c r="AP46" s="67"/>
    </row>
    <row r="47" spans="1:45" x14ac:dyDescent="0.25">
      <c r="AP47" s="67"/>
    </row>
    <row r="48" spans="1:45" x14ac:dyDescent="0.25">
      <c r="AP48" s="67"/>
    </row>
    <row r="49" spans="2:42" x14ac:dyDescent="0.25">
      <c r="AP49" s="67"/>
    </row>
    <row r="50" spans="2:42" x14ac:dyDescent="0.25">
      <c r="AP50" s="67"/>
    </row>
    <row r="51" spans="2:42" x14ac:dyDescent="0.25">
      <c r="AP51" s="67"/>
    </row>
    <row r="52" spans="2:42" x14ac:dyDescent="0.25">
      <c r="AP52" s="67"/>
    </row>
    <row r="55" spans="2:42" x14ac:dyDescent="0.25">
      <c r="B55" s="103"/>
      <c r="E55" s="122"/>
      <c r="F55" s="122"/>
    </row>
    <row r="60" spans="2:42" x14ac:dyDescent="0.25">
      <c r="V60" s="123"/>
    </row>
    <row r="91" spans="1:43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G91" s="4"/>
      <c r="AI91" s="4"/>
      <c r="AL91" s="4"/>
      <c r="AM91" s="4"/>
      <c r="AN91" s="4"/>
      <c r="AO91" s="4"/>
      <c r="AP91" s="4"/>
      <c r="AQ91" s="4"/>
    </row>
    <row r="92" spans="1:43" x14ac:dyDescent="0.25">
      <c r="B92" s="124"/>
    </row>
    <row r="95" spans="1:43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G95" s="4"/>
      <c r="AI95" s="4"/>
      <c r="AL95" s="4"/>
      <c r="AM95" s="4"/>
      <c r="AN95" s="4"/>
      <c r="AO95" s="4"/>
      <c r="AP95" s="4"/>
      <c r="AQ95" s="4"/>
    </row>
    <row r="96" spans="1:43" x14ac:dyDescent="0.25">
      <c r="A96" s="51"/>
    </row>
  </sheetData>
  <mergeCells count="50">
    <mergeCell ref="Y6:Y7"/>
    <mergeCell ref="Z6:Z7"/>
    <mergeCell ref="A15:B15"/>
    <mergeCell ref="C18:E18"/>
    <mergeCell ref="N22:P22"/>
    <mergeCell ref="E55:F55"/>
    <mergeCell ref="AK5:AK7"/>
    <mergeCell ref="AL5:AL7"/>
    <mergeCell ref="AM5:AM7"/>
    <mergeCell ref="K6:K7"/>
    <mergeCell ref="L6:L7"/>
    <mergeCell ref="M6:M7"/>
    <mergeCell ref="N6:N7"/>
    <mergeCell ref="O6:O7"/>
    <mergeCell ref="P6:P7"/>
    <mergeCell ref="R6:R7"/>
    <mergeCell ref="AD5:AD7"/>
    <mergeCell ref="AF5:AF7"/>
    <mergeCell ref="AG5:AG7"/>
    <mergeCell ref="AH5:AH7"/>
    <mergeCell ref="AI5:AI7"/>
    <mergeCell ref="AJ5:AJ7"/>
    <mergeCell ref="S5:S7"/>
    <mergeCell ref="T5:T7"/>
    <mergeCell ref="U5:Z5"/>
    <mergeCell ref="AA5:AA7"/>
    <mergeCell ref="AB5:AB7"/>
    <mergeCell ref="AC5:AC7"/>
    <mergeCell ref="U6:U7"/>
    <mergeCell ref="V6:V7"/>
    <mergeCell ref="W6:W7"/>
    <mergeCell ref="X6:X7"/>
    <mergeCell ref="G5:G7"/>
    <mergeCell ref="H5:H7"/>
    <mergeCell ref="I5:I7"/>
    <mergeCell ref="J5:J7"/>
    <mergeCell ref="K5:P5"/>
    <mergeCell ref="Q5:Q7"/>
    <mergeCell ref="A5:A7"/>
    <mergeCell ref="B5:B7"/>
    <mergeCell ref="C5:C7"/>
    <mergeCell ref="D5:D7"/>
    <mergeCell ref="E5:E7"/>
    <mergeCell ref="F5:F7"/>
    <mergeCell ref="A2:E2"/>
    <mergeCell ref="T2:U2"/>
    <mergeCell ref="A3:AD3"/>
    <mergeCell ref="AF3:AM3"/>
    <mergeCell ref="A4:AD4"/>
    <mergeCell ref="AF4:AM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topLeftCell="A4" workbookViewId="0">
      <selection activeCell="W20" sqref="W19:W20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108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3500</v>
      </c>
      <c r="D8" s="143">
        <v>4000</v>
      </c>
      <c r="E8" s="143">
        <v>2450</v>
      </c>
      <c r="F8" s="143">
        <v>4800</v>
      </c>
      <c r="G8" s="143"/>
      <c r="H8" s="143">
        <v>1000</v>
      </c>
      <c r="I8" s="143">
        <v>1000</v>
      </c>
      <c r="J8" s="143"/>
      <c r="K8" s="143"/>
      <c r="L8" s="143"/>
      <c r="M8" s="143"/>
      <c r="N8" s="143">
        <v>2000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7.5</v>
      </c>
      <c r="D9" s="146">
        <v>8</v>
      </c>
      <c r="E9" s="146">
        <v>5.3</v>
      </c>
      <c r="F9" s="146">
        <v>10</v>
      </c>
      <c r="G9" s="146"/>
      <c r="H9" s="146">
        <v>2</v>
      </c>
      <c r="I9" s="146">
        <v>2</v>
      </c>
      <c r="J9" s="146"/>
      <c r="K9" s="148"/>
      <c r="L9" s="146"/>
      <c r="M9" s="146"/>
      <c r="N9" s="146">
        <v>4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10692</v>
      </c>
      <c r="D10" s="152">
        <v>2845</v>
      </c>
      <c r="E10" s="152">
        <v>11185</v>
      </c>
      <c r="F10" s="152">
        <v>10694</v>
      </c>
      <c r="G10" s="154"/>
      <c r="H10" s="154">
        <v>13663</v>
      </c>
      <c r="I10" s="154">
        <v>4679</v>
      </c>
      <c r="J10" s="152"/>
      <c r="K10" s="152"/>
      <c r="L10" s="152"/>
      <c r="M10" s="152"/>
      <c r="N10" s="152">
        <v>5839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>
        <v>1030</v>
      </c>
      <c r="I11" s="158"/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14840</v>
      </c>
      <c r="D12" s="141">
        <v>7880</v>
      </c>
      <c r="E12" s="141">
        <v>9310</v>
      </c>
      <c r="F12" s="141">
        <v>6375</v>
      </c>
      <c r="G12" s="160"/>
      <c r="H12" s="160">
        <v>11790</v>
      </c>
      <c r="I12" s="160">
        <v>4160</v>
      </c>
      <c r="J12" s="143"/>
      <c r="K12" s="141"/>
      <c r="L12" s="141"/>
      <c r="M12" s="141"/>
      <c r="N12" s="141">
        <v>5090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7895</v>
      </c>
      <c r="D13" s="141">
        <v>700</v>
      </c>
      <c r="E13" s="141">
        <v>6806</v>
      </c>
      <c r="F13" s="141">
        <v>1170</v>
      </c>
      <c r="G13" s="160"/>
      <c r="H13" s="160">
        <v>5665</v>
      </c>
      <c r="I13" s="160">
        <v>1559</v>
      </c>
      <c r="J13" s="143"/>
      <c r="K13" s="143"/>
      <c r="L13" s="141"/>
      <c r="M13" s="141"/>
      <c r="N13" s="141">
        <v>3391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>
        <v>3000</v>
      </c>
      <c r="D14" s="141"/>
      <c r="E14" s="141"/>
      <c r="F14" s="141"/>
      <c r="G14" s="160"/>
      <c r="H14" s="160"/>
      <c r="I14" s="160">
        <v>1500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>
        <v>3600</v>
      </c>
      <c r="E16" s="141"/>
      <c r="F16" s="143"/>
      <c r="G16" s="160"/>
      <c r="H16" s="161"/>
      <c r="I16" s="160">
        <v>3600</v>
      </c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>
        <v>750</v>
      </c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40677</v>
      </c>
      <c r="D18" s="164">
        <f>SUM(D10:D17)+D8</f>
        <v>19025</v>
      </c>
      <c r="E18" s="164">
        <f>SUM(E10:E17)+E8</f>
        <v>29751</v>
      </c>
      <c r="F18" s="164">
        <f>SUM(F10:F17)+F8</f>
        <v>23039</v>
      </c>
      <c r="G18" s="164">
        <f t="shared" ref="G18:N18" si="0">SUM(G10:G17)+G8</f>
        <v>0</v>
      </c>
      <c r="H18" s="164">
        <f t="shared" si="0"/>
        <v>33148</v>
      </c>
      <c r="I18" s="164">
        <f>SUM(I10:I17)+I8</f>
        <v>16498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16320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525</v>
      </c>
      <c r="D19" s="165">
        <f t="shared" ref="D19:N19" si="1">D9*70</f>
        <v>560</v>
      </c>
      <c r="E19" s="165">
        <f t="shared" si="1"/>
        <v>371</v>
      </c>
      <c r="F19" s="165">
        <f t="shared" si="1"/>
        <v>700</v>
      </c>
      <c r="G19" s="165">
        <f t="shared" si="1"/>
        <v>0</v>
      </c>
      <c r="H19" s="165">
        <f t="shared" si="1"/>
        <v>140</v>
      </c>
      <c r="I19" s="165">
        <f t="shared" si="1"/>
        <v>140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280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3421.44</v>
      </c>
      <c r="D20" s="165">
        <f t="shared" si="2"/>
        <v>910.4</v>
      </c>
      <c r="E20" s="165">
        <f t="shared" si="2"/>
        <v>3579.2000000000003</v>
      </c>
      <c r="F20" s="165">
        <f t="shared" si="2"/>
        <v>3422.08</v>
      </c>
      <c r="G20" s="165">
        <f t="shared" si="2"/>
        <v>0</v>
      </c>
      <c r="H20" s="165">
        <f t="shared" si="2"/>
        <v>4372.16</v>
      </c>
      <c r="I20" s="165">
        <f t="shared" si="2"/>
        <v>1497.28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1868.48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>C11*0.6</f>
        <v>0</v>
      </c>
      <c r="D21" s="165">
        <f t="shared" ref="D21:N21" si="3">D11*0.6</f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618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1484</v>
      </c>
      <c r="D22" s="165">
        <f t="shared" si="4"/>
        <v>788</v>
      </c>
      <c r="E22" s="165">
        <f t="shared" si="4"/>
        <v>931</v>
      </c>
      <c r="F22" s="165">
        <f t="shared" si="4"/>
        <v>637.5</v>
      </c>
      <c r="G22" s="165">
        <f t="shared" si="4"/>
        <v>0</v>
      </c>
      <c r="H22" s="165">
        <f t="shared" si="4"/>
        <v>1179</v>
      </c>
      <c r="I22" s="165">
        <f t="shared" si="4"/>
        <v>416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509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2526.4</v>
      </c>
      <c r="D23" s="165">
        <f t="shared" si="5"/>
        <v>224</v>
      </c>
      <c r="E23" s="165">
        <f t="shared" si="5"/>
        <v>2177.92</v>
      </c>
      <c r="F23" s="165">
        <f t="shared" si="5"/>
        <v>374.40000000000003</v>
      </c>
      <c r="G23" s="165">
        <f t="shared" si="5"/>
        <v>0</v>
      </c>
      <c r="H23" s="165">
        <f t="shared" si="5"/>
        <v>1812.8</v>
      </c>
      <c r="I23" s="165">
        <f t="shared" si="5"/>
        <v>498.88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1085.1200000000001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480</v>
      </c>
      <c r="D24" s="165">
        <f t="shared" si="6"/>
        <v>0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240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1620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1620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337.5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8774.34</v>
      </c>
      <c r="D28" s="168">
        <f t="shared" si="9"/>
        <v>4102.3999999999996</v>
      </c>
      <c r="E28" s="168">
        <f t="shared" si="9"/>
        <v>7059.1200000000008</v>
      </c>
      <c r="F28" s="168">
        <f t="shared" si="9"/>
        <v>5133.9799999999996</v>
      </c>
      <c r="G28" s="168">
        <f t="shared" si="9"/>
        <v>0</v>
      </c>
      <c r="H28" s="168">
        <f t="shared" si="9"/>
        <v>8121.96</v>
      </c>
      <c r="I28" s="168">
        <f t="shared" si="9"/>
        <v>4412.16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3742.6000000000004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41346.560000000005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6"/>
  <sheetViews>
    <sheetView workbookViewId="0">
      <selection activeCell="S26" sqref="S26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85546875" style="8" customWidth="1"/>
    <col min="27" max="28" width="9.42578125" style="1" customWidth="1"/>
    <col min="29" max="29" width="7.85546875" style="1" hidden="1" customWidth="1"/>
    <col min="30" max="30" width="10.5703125" style="4" customWidth="1"/>
    <col min="31" max="33" width="9.140625" style="4"/>
    <col min="34" max="34" width="10.7109375" style="4" customWidth="1"/>
    <col min="35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6.85546875" style="4" customWidth="1"/>
    <col min="283" max="284" width="9.42578125" style="4" customWidth="1"/>
    <col min="285" max="285" width="0" style="4" hidden="1" customWidth="1"/>
    <col min="286" max="286" width="10.5703125" style="4" customWidth="1"/>
    <col min="287" max="289" width="9.140625" style="4"/>
    <col min="290" max="290" width="10.7109375" style="4" customWidth="1"/>
    <col min="291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6.85546875" style="4" customWidth="1"/>
    <col min="539" max="540" width="9.42578125" style="4" customWidth="1"/>
    <col min="541" max="541" width="0" style="4" hidden="1" customWidth="1"/>
    <col min="542" max="542" width="10.5703125" style="4" customWidth="1"/>
    <col min="543" max="545" width="9.140625" style="4"/>
    <col min="546" max="546" width="10.7109375" style="4" customWidth="1"/>
    <col min="547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6.85546875" style="4" customWidth="1"/>
    <col min="795" max="796" width="9.42578125" style="4" customWidth="1"/>
    <col min="797" max="797" width="0" style="4" hidden="1" customWidth="1"/>
    <col min="798" max="798" width="10.5703125" style="4" customWidth="1"/>
    <col min="799" max="801" width="9.140625" style="4"/>
    <col min="802" max="802" width="10.7109375" style="4" customWidth="1"/>
    <col min="803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6.85546875" style="4" customWidth="1"/>
    <col min="1051" max="1052" width="9.42578125" style="4" customWidth="1"/>
    <col min="1053" max="1053" width="0" style="4" hidden="1" customWidth="1"/>
    <col min="1054" max="1054" width="10.5703125" style="4" customWidth="1"/>
    <col min="1055" max="1057" width="9.140625" style="4"/>
    <col min="1058" max="1058" width="10.7109375" style="4" customWidth="1"/>
    <col min="1059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6.85546875" style="4" customWidth="1"/>
    <col min="1307" max="1308" width="9.42578125" style="4" customWidth="1"/>
    <col min="1309" max="1309" width="0" style="4" hidden="1" customWidth="1"/>
    <col min="1310" max="1310" width="10.5703125" style="4" customWidth="1"/>
    <col min="1311" max="1313" width="9.140625" style="4"/>
    <col min="1314" max="1314" width="10.7109375" style="4" customWidth="1"/>
    <col min="1315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6.85546875" style="4" customWidth="1"/>
    <col min="1563" max="1564" width="9.42578125" style="4" customWidth="1"/>
    <col min="1565" max="1565" width="0" style="4" hidden="1" customWidth="1"/>
    <col min="1566" max="1566" width="10.5703125" style="4" customWidth="1"/>
    <col min="1567" max="1569" width="9.140625" style="4"/>
    <col min="1570" max="1570" width="10.7109375" style="4" customWidth="1"/>
    <col min="1571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6.85546875" style="4" customWidth="1"/>
    <col min="1819" max="1820" width="9.42578125" style="4" customWidth="1"/>
    <col min="1821" max="1821" width="0" style="4" hidden="1" customWidth="1"/>
    <col min="1822" max="1822" width="10.5703125" style="4" customWidth="1"/>
    <col min="1823" max="1825" width="9.140625" style="4"/>
    <col min="1826" max="1826" width="10.7109375" style="4" customWidth="1"/>
    <col min="1827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6.85546875" style="4" customWidth="1"/>
    <col min="2075" max="2076" width="9.42578125" style="4" customWidth="1"/>
    <col min="2077" max="2077" width="0" style="4" hidden="1" customWidth="1"/>
    <col min="2078" max="2078" width="10.5703125" style="4" customWidth="1"/>
    <col min="2079" max="2081" width="9.140625" style="4"/>
    <col min="2082" max="2082" width="10.7109375" style="4" customWidth="1"/>
    <col min="2083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6.85546875" style="4" customWidth="1"/>
    <col min="2331" max="2332" width="9.42578125" style="4" customWidth="1"/>
    <col min="2333" max="2333" width="0" style="4" hidden="1" customWidth="1"/>
    <col min="2334" max="2334" width="10.5703125" style="4" customWidth="1"/>
    <col min="2335" max="2337" width="9.140625" style="4"/>
    <col min="2338" max="2338" width="10.7109375" style="4" customWidth="1"/>
    <col min="2339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6.85546875" style="4" customWidth="1"/>
    <col min="2587" max="2588" width="9.42578125" style="4" customWidth="1"/>
    <col min="2589" max="2589" width="0" style="4" hidden="1" customWidth="1"/>
    <col min="2590" max="2590" width="10.5703125" style="4" customWidth="1"/>
    <col min="2591" max="2593" width="9.140625" style="4"/>
    <col min="2594" max="2594" width="10.7109375" style="4" customWidth="1"/>
    <col min="2595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6.85546875" style="4" customWidth="1"/>
    <col min="2843" max="2844" width="9.42578125" style="4" customWidth="1"/>
    <col min="2845" max="2845" width="0" style="4" hidden="1" customWidth="1"/>
    <col min="2846" max="2846" width="10.5703125" style="4" customWidth="1"/>
    <col min="2847" max="2849" width="9.140625" style="4"/>
    <col min="2850" max="2850" width="10.7109375" style="4" customWidth="1"/>
    <col min="2851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6.85546875" style="4" customWidth="1"/>
    <col min="3099" max="3100" width="9.42578125" style="4" customWidth="1"/>
    <col min="3101" max="3101" width="0" style="4" hidden="1" customWidth="1"/>
    <col min="3102" max="3102" width="10.5703125" style="4" customWidth="1"/>
    <col min="3103" max="3105" width="9.140625" style="4"/>
    <col min="3106" max="3106" width="10.7109375" style="4" customWidth="1"/>
    <col min="3107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6.85546875" style="4" customWidth="1"/>
    <col min="3355" max="3356" width="9.42578125" style="4" customWidth="1"/>
    <col min="3357" max="3357" width="0" style="4" hidden="1" customWidth="1"/>
    <col min="3358" max="3358" width="10.5703125" style="4" customWidth="1"/>
    <col min="3359" max="3361" width="9.140625" style="4"/>
    <col min="3362" max="3362" width="10.7109375" style="4" customWidth="1"/>
    <col min="3363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6.85546875" style="4" customWidth="1"/>
    <col min="3611" max="3612" width="9.42578125" style="4" customWidth="1"/>
    <col min="3613" max="3613" width="0" style="4" hidden="1" customWidth="1"/>
    <col min="3614" max="3614" width="10.5703125" style="4" customWidth="1"/>
    <col min="3615" max="3617" width="9.140625" style="4"/>
    <col min="3618" max="3618" width="10.7109375" style="4" customWidth="1"/>
    <col min="3619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6.85546875" style="4" customWidth="1"/>
    <col min="3867" max="3868" width="9.42578125" style="4" customWidth="1"/>
    <col min="3869" max="3869" width="0" style="4" hidden="1" customWidth="1"/>
    <col min="3870" max="3870" width="10.5703125" style="4" customWidth="1"/>
    <col min="3871" max="3873" width="9.140625" style="4"/>
    <col min="3874" max="3874" width="10.7109375" style="4" customWidth="1"/>
    <col min="3875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6.85546875" style="4" customWidth="1"/>
    <col min="4123" max="4124" width="9.42578125" style="4" customWidth="1"/>
    <col min="4125" max="4125" width="0" style="4" hidden="1" customWidth="1"/>
    <col min="4126" max="4126" width="10.5703125" style="4" customWidth="1"/>
    <col min="4127" max="4129" width="9.140625" style="4"/>
    <col min="4130" max="4130" width="10.7109375" style="4" customWidth="1"/>
    <col min="4131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6.85546875" style="4" customWidth="1"/>
    <col min="4379" max="4380" width="9.42578125" style="4" customWidth="1"/>
    <col min="4381" max="4381" width="0" style="4" hidden="1" customWidth="1"/>
    <col min="4382" max="4382" width="10.5703125" style="4" customWidth="1"/>
    <col min="4383" max="4385" width="9.140625" style="4"/>
    <col min="4386" max="4386" width="10.7109375" style="4" customWidth="1"/>
    <col min="4387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6.85546875" style="4" customWidth="1"/>
    <col min="4635" max="4636" width="9.42578125" style="4" customWidth="1"/>
    <col min="4637" max="4637" width="0" style="4" hidden="1" customWidth="1"/>
    <col min="4638" max="4638" width="10.5703125" style="4" customWidth="1"/>
    <col min="4639" max="4641" width="9.140625" style="4"/>
    <col min="4642" max="4642" width="10.7109375" style="4" customWidth="1"/>
    <col min="4643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6.85546875" style="4" customWidth="1"/>
    <col min="4891" max="4892" width="9.42578125" style="4" customWidth="1"/>
    <col min="4893" max="4893" width="0" style="4" hidden="1" customWidth="1"/>
    <col min="4894" max="4894" width="10.5703125" style="4" customWidth="1"/>
    <col min="4895" max="4897" width="9.140625" style="4"/>
    <col min="4898" max="4898" width="10.7109375" style="4" customWidth="1"/>
    <col min="4899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6.85546875" style="4" customWidth="1"/>
    <col min="5147" max="5148" width="9.42578125" style="4" customWidth="1"/>
    <col min="5149" max="5149" width="0" style="4" hidden="1" customWidth="1"/>
    <col min="5150" max="5150" width="10.5703125" style="4" customWidth="1"/>
    <col min="5151" max="5153" width="9.140625" style="4"/>
    <col min="5154" max="5154" width="10.7109375" style="4" customWidth="1"/>
    <col min="5155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6.85546875" style="4" customWidth="1"/>
    <col min="5403" max="5404" width="9.42578125" style="4" customWidth="1"/>
    <col min="5405" max="5405" width="0" style="4" hidden="1" customWidth="1"/>
    <col min="5406" max="5406" width="10.5703125" style="4" customWidth="1"/>
    <col min="5407" max="5409" width="9.140625" style="4"/>
    <col min="5410" max="5410" width="10.7109375" style="4" customWidth="1"/>
    <col min="5411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6.85546875" style="4" customWidth="1"/>
    <col min="5659" max="5660" width="9.42578125" style="4" customWidth="1"/>
    <col min="5661" max="5661" width="0" style="4" hidden="1" customWidth="1"/>
    <col min="5662" max="5662" width="10.5703125" style="4" customWidth="1"/>
    <col min="5663" max="5665" width="9.140625" style="4"/>
    <col min="5666" max="5666" width="10.7109375" style="4" customWidth="1"/>
    <col min="5667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6.85546875" style="4" customWidth="1"/>
    <col min="5915" max="5916" width="9.42578125" style="4" customWidth="1"/>
    <col min="5917" max="5917" width="0" style="4" hidden="1" customWidth="1"/>
    <col min="5918" max="5918" width="10.5703125" style="4" customWidth="1"/>
    <col min="5919" max="5921" width="9.140625" style="4"/>
    <col min="5922" max="5922" width="10.7109375" style="4" customWidth="1"/>
    <col min="5923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6.85546875" style="4" customWidth="1"/>
    <col min="6171" max="6172" width="9.42578125" style="4" customWidth="1"/>
    <col min="6173" max="6173" width="0" style="4" hidden="1" customWidth="1"/>
    <col min="6174" max="6174" width="10.5703125" style="4" customWidth="1"/>
    <col min="6175" max="6177" width="9.140625" style="4"/>
    <col min="6178" max="6178" width="10.7109375" style="4" customWidth="1"/>
    <col min="6179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6.85546875" style="4" customWidth="1"/>
    <col min="6427" max="6428" width="9.42578125" style="4" customWidth="1"/>
    <col min="6429" max="6429" width="0" style="4" hidden="1" customWidth="1"/>
    <col min="6430" max="6430" width="10.5703125" style="4" customWidth="1"/>
    <col min="6431" max="6433" width="9.140625" style="4"/>
    <col min="6434" max="6434" width="10.7109375" style="4" customWidth="1"/>
    <col min="6435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6.85546875" style="4" customWidth="1"/>
    <col min="6683" max="6684" width="9.42578125" style="4" customWidth="1"/>
    <col min="6685" max="6685" width="0" style="4" hidden="1" customWidth="1"/>
    <col min="6686" max="6686" width="10.5703125" style="4" customWidth="1"/>
    <col min="6687" max="6689" width="9.140625" style="4"/>
    <col min="6690" max="6690" width="10.7109375" style="4" customWidth="1"/>
    <col min="6691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6.85546875" style="4" customWidth="1"/>
    <col min="6939" max="6940" width="9.42578125" style="4" customWidth="1"/>
    <col min="6941" max="6941" width="0" style="4" hidden="1" customWidth="1"/>
    <col min="6942" max="6942" width="10.5703125" style="4" customWidth="1"/>
    <col min="6943" max="6945" width="9.140625" style="4"/>
    <col min="6946" max="6946" width="10.7109375" style="4" customWidth="1"/>
    <col min="6947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6.85546875" style="4" customWidth="1"/>
    <col min="7195" max="7196" width="9.42578125" style="4" customWidth="1"/>
    <col min="7197" max="7197" width="0" style="4" hidden="1" customWidth="1"/>
    <col min="7198" max="7198" width="10.5703125" style="4" customWidth="1"/>
    <col min="7199" max="7201" width="9.140625" style="4"/>
    <col min="7202" max="7202" width="10.7109375" style="4" customWidth="1"/>
    <col min="7203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6.85546875" style="4" customWidth="1"/>
    <col min="7451" max="7452" width="9.42578125" style="4" customWidth="1"/>
    <col min="7453" max="7453" width="0" style="4" hidden="1" customWidth="1"/>
    <col min="7454" max="7454" width="10.5703125" style="4" customWidth="1"/>
    <col min="7455" max="7457" width="9.140625" style="4"/>
    <col min="7458" max="7458" width="10.7109375" style="4" customWidth="1"/>
    <col min="7459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6.85546875" style="4" customWidth="1"/>
    <col min="7707" max="7708" width="9.42578125" style="4" customWidth="1"/>
    <col min="7709" max="7709" width="0" style="4" hidden="1" customWidth="1"/>
    <col min="7710" max="7710" width="10.5703125" style="4" customWidth="1"/>
    <col min="7711" max="7713" width="9.140625" style="4"/>
    <col min="7714" max="7714" width="10.7109375" style="4" customWidth="1"/>
    <col min="7715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6.85546875" style="4" customWidth="1"/>
    <col min="7963" max="7964" width="9.42578125" style="4" customWidth="1"/>
    <col min="7965" max="7965" width="0" style="4" hidden="1" customWidth="1"/>
    <col min="7966" max="7966" width="10.5703125" style="4" customWidth="1"/>
    <col min="7967" max="7969" width="9.140625" style="4"/>
    <col min="7970" max="7970" width="10.7109375" style="4" customWidth="1"/>
    <col min="7971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6.85546875" style="4" customWidth="1"/>
    <col min="8219" max="8220" width="9.42578125" style="4" customWidth="1"/>
    <col min="8221" max="8221" width="0" style="4" hidden="1" customWidth="1"/>
    <col min="8222" max="8222" width="10.5703125" style="4" customWidth="1"/>
    <col min="8223" max="8225" width="9.140625" style="4"/>
    <col min="8226" max="8226" width="10.7109375" style="4" customWidth="1"/>
    <col min="8227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6.85546875" style="4" customWidth="1"/>
    <col min="8475" max="8476" width="9.42578125" style="4" customWidth="1"/>
    <col min="8477" max="8477" width="0" style="4" hidden="1" customWidth="1"/>
    <col min="8478" max="8478" width="10.5703125" style="4" customWidth="1"/>
    <col min="8479" max="8481" width="9.140625" style="4"/>
    <col min="8482" max="8482" width="10.7109375" style="4" customWidth="1"/>
    <col min="8483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6.85546875" style="4" customWidth="1"/>
    <col min="8731" max="8732" width="9.42578125" style="4" customWidth="1"/>
    <col min="8733" max="8733" width="0" style="4" hidden="1" customWidth="1"/>
    <col min="8734" max="8734" width="10.5703125" style="4" customWidth="1"/>
    <col min="8735" max="8737" width="9.140625" style="4"/>
    <col min="8738" max="8738" width="10.7109375" style="4" customWidth="1"/>
    <col min="8739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6.85546875" style="4" customWidth="1"/>
    <col min="8987" max="8988" width="9.42578125" style="4" customWidth="1"/>
    <col min="8989" max="8989" width="0" style="4" hidden="1" customWidth="1"/>
    <col min="8990" max="8990" width="10.5703125" style="4" customWidth="1"/>
    <col min="8991" max="8993" width="9.140625" style="4"/>
    <col min="8994" max="8994" width="10.7109375" style="4" customWidth="1"/>
    <col min="8995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6.85546875" style="4" customWidth="1"/>
    <col min="9243" max="9244" width="9.42578125" style="4" customWidth="1"/>
    <col min="9245" max="9245" width="0" style="4" hidden="1" customWidth="1"/>
    <col min="9246" max="9246" width="10.5703125" style="4" customWidth="1"/>
    <col min="9247" max="9249" width="9.140625" style="4"/>
    <col min="9250" max="9250" width="10.7109375" style="4" customWidth="1"/>
    <col min="9251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6.85546875" style="4" customWidth="1"/>
    <col min="9499" max="9500" width="9.42578125" style="4" customWidth="1"/>
    <col min="9501" max="9501" width="0" style="4" hidden="1" customWidth="1"/>
    <col min="9502" max="9502" width="10.5703125" style="4" customWidth="1"/>
    <col min="9503" max="9505" width="9.140625" style="4"/>
    <col min="9506" max="9506" width="10.7109375" style="4" customWidth="1"/>
    <col min="9507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6.85546875" style="4" customWidth="1"/>
    <col min="9755" max="9756" width="9.42578125" style="4" customWidth="1"/>
    <col min="9757" max="9757" width="0" style="4" hidden="1" customWidth="1"/>
    <col min="9758" max="9758" width="10.5703125" style="4" customWidth="1"/>
    <col min="9759" max="9761" width="9.140625" style="4"/>
    <col min="9762" max="9762" width="10.7109375" style="4" customWidth="1"/>
    <col min="9763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6.85546875" style="4" customWidth="1"/>
    <col min="10011" max="10012" width="9.42578125" style="4" customWidth="1"/>
    <col min="10013" max="10013" width="0" style="4" hidden="1" customWidth="1"/>
    <col min="10014" max="10014" width="10.5703125" style="4" customWidth="1"/>
    <col min="10015" max="10017" width="9.140625" style="4"/>
    <col min="10018" max="10018" width="10.7109375" style="4" customWidth="1"/>
    <col min="10019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6.85546875" style="4" customWidth="1"/>
    <col min="10267" max="10268" width="9.42578125" style="4" customWidth="1"/>
    <col min="10269" max="10269" width="0" style="4" hidden="1" customWidth="1"/>
    <col min="10270" max="10270" width="10.5703125" style="4" customWidth="1"/>
    <col min="10271" max="10273" width="9.140625" style="4"/>
    <col min="10274" max="10274" width="10.7109375" style="4" customWidth="1"/>
    <col min="10275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6.85546875" style="4" customWidth="1"/>
    <col min="10523" max="10524" width="9.42578125" style="4" customWidth="1"/>
    <col min="10525" max="10525" width="0" style="4" hidden="1" customWidth="1"/>
    <col min="10526" max="10526" width="10.5703125" style="4" customWidth="1"/>
    <col min="10527" max="10529" width="9.140625" style="4"/>
    <col min="10530" max="10530" width="10.7109375" style="4" customWidth="1"/>
    <col min="10531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6.85546875" style="4" customWidth="1"/>
    <col min="10779" max="10780" width="9.42578125" style="4" customWidth="1"/>
    <col min="10781" max="10781" width="0" style="4" hidden="1" customWidth="1"/>
    <col min="10782" max="10782" width="10.5703125" style="4" customWidth="1"/>
    <col min="10783" max="10785" width="9.140625" style="4"/>
    <col min="10786" max="10786" width="10.7109375" style="4" customWidth="1"/>
    <col min="10787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6.85546875" style="4" customWidth="1"/>
    <col min="11035" max="11036" width="9.42578125" style="4" customWidth="1"/>
    <col min="11037" max="11037" width="0" style="4" hidden="1" customWidth="1"/>
    <col min="11038" max="11038" width="10.5703125" style="4" customWidth="1"/>
    <col min="11039" max="11041" width="9.140625" style="4"/>
    <col min="11042" max="11042" width="10.7109375" style="4" customWidth="1"/>
    <col min="11043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6.85546875" style="4" customWidth="1"/>
    <col min="11291" max="11292" width="9.42578125" style="4" customWidth="1"/>
    <col min="11293" max="11293" width="0" style="4" hidden="1" customWidth="1"/>
    <col min="11294" max="11294" width="10.5703125" style="4" customWidth="1"/>
    <col min="11295" max="11297" width="9.140625" style="4"/>
    <col min="11298" max="11298" width="10.7109375" style="4" customWidth="1"/>
    <col min="11299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6.85546875" style="4" customWidth="1"/>
    <col min="11547" max="11548" width="9.42578125" style="4" customWidth="1"/>
    <col min="11549" max="11549" width="0" style="4" hidden="1" customWidth="1"/>
    <col min="11550" max="11550" width="10.5703125" style="4" customWidth="1"/>
    <col min="11551" max="11553" width="9.140625" style="4"/>
    <col min="11554" max="11554" width="10.7109375" style="4" customWidth="1"/>
    <col min="11555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6.85546875" style="4" customWidth="1"/>
    <col min="11803" max="11804" width="9.42578125" style="4" customWidth="1"/>
    <col min="11805" max="11805" width="0" style="4" hidden="1" customWidth="1"/>
    <col min="11806" max="11806" width="10.5703125" style="4" customWidth="1"/>
    <col min="11807" max="11809" width="9.140625" style="4"/>
    <col min="11810" max="11810" width="10.7109375" style="4" customWidth="1"/>
    <col min="11811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6.85546875" style="4" customWidth="1"/>
    <col min="12059" max="12060" width="9.42578125" style="4" customWidth="1"/>
    <col min="12061" max="12061" width="0" style="4" hidden="1" customWidth="1"/>
    <col min="12062" max="12062" width="10.5703125" style="4" customWidth="1"/>
    <col min="12063" max="12065" width="9.140625" style="4"/>
    <col min="12066" max="12066" width="10.7109375" style="4" customWidth="1"/>
    <col min="12067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6.85546875" style="4" customWidth="1"/>
    <col min="12315" max="12316" width="9.42578125" style="4" customWidth="1"/>
    <col min="12317" max="12317" width="0" style="4" hidden="1" customWidth="1"/>
    <col min="12318" max="12318" width="10.5703125" style="4" customWidth="1"/>
    <col min="12319" max="12321" width="9.140625" style="4"/>
    <col min="12322" max="12322" width="10.7109375" style="4" customWidth="1"/>
    <col min="12323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6.85546875" style="4" customWidth="1"/>
    <col min="12571" max="12572" width="9.42578125" style="4" customWidth="1"/>
    <col min="12573" max="12573" width="0" style="4" hidden="1" customWidth="1"/>
    <col min="12574" max="12574" width="10.5703125" style="4" customWidth="1"/>
    <col min="12575" max="12577" width="9.140625" style="4"/>
    <col min="12578" max="12578" width="10.7109375" style="4" customWidth="1"/>
    <col min="12579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6.85546875" style="4" customWidth="1"/>
    <col min="12827" max="12828" width="9.42578125" style="4" customWidth="1"/>
    <col min="12829" max="12829" width="0" style="4" hidden="1" customWidth="1"/>
    <col min="12830" max="12830" width="10.5703125" style="4" customWidth="1"/>
    <col min="12831" max="12833" width="9.140625" style="4"/>
    <col min="12834" max="12834" width="10.7109375" style="4" customWidth="1"/>
    <col min="12835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6.85546875" style="4" customWidth="1"/>
    <col min="13083" max="13084" width="9.42578125" style="4" customWidth="1"/>
    <col min="13085" max="13085" width="0" style="4" hidden="1" customWidth="1"/>
    <col min="13086" max="13086" width="10.5703125" style="4" customWidth="1"/>
    <col min="13087" max="13089" width="9.140625" style="4"/>
    <col min="13090" max="13090" width="10.7109375" style="4" customWidth="1"/>
    <col min="13091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6.85546875" style="4" customWidth="1"/>
    <col min="13339" max="13340" width="9.42578125" style="4" customWidth="1"/>
    <col min="13341" max="13341" width="0" style="4" hidden="1" customWidth="1"/>
    <col min="13342" max="13342" width="10.5703125" style="4" customWidth="1"/>
    <col min="13343" max="13345" width="9.140625" style="4"/>
    <col min="13346" max="13346" width="10.7109375" style="4" customWidth="1"/>
    <col min="13347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6.85546875" style="4" customWidth="1"/>
    <col min="13595" max="13596" width="9.42578125" style="4" customWidth="1"/>
    <col min="13597" max="13597" width="0" style="4" hidden="1" customWidth="1"/>
    <col min="13598" max="13598" width="10.5703125" style="4" customWidth="1"/>
    <col min="13599" max="13601" width="9.140625" style="4"/>
    <col min="13602" max="13602" width="10.7109375" style="4" customWidth="1"/>
    <col min="13603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6.85546875" style="4" customWidth="1"/>
    <col min="13851" max="13852" width="9.42578125" style="4" customWidth="1"/>
    <col min="13853" max="13853" width="0" style="4" hidden="1" customWidth="1"/>
    <col min="13854" max="13854" width="10.5703125" style="4" customWidth="1"/>
    <col min="13855" max="13857" width="9.140625" style="4"/>
    <col min="13858" max="13858" width="10.7109375" style="4" customWidth="1"/>
    <col min="13859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6.85546875" style="4" customWidth="1"/>
    <col min="14107" max="14108" width="9.42578125" style="4" customWidth="1"/>
    <col min="14109" max="14109" width="0" style="4" hidden="1" customWidth="1"/>
    <col min="14110" max="14110" width="10.5703125" style="4" customWidth="1"/>
    <col min="14111" max="14113" width="9.140625" style="4"/>
    <col min="14114" max="14114" width="10.7109375" style="4" customWidth="1"/>
    <col min="14115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6.85546875" style="4" customWidth="1"/>
    <col min="14363" max="14364" width="9.42578125" style="4" customWidth="1"/>
    <col min="14365" max="14365" width="0" style="4" hidden="1" customWidth="1"/>
    <col min="14366" max="14366" width="10.5703125" style="4" customWidth="1"/>
    <col min="14367" max="14369" width="9.140625" style="4"/>
    <col min="14370" max="14370" width="10.7109375" style="4" customWidth="1"/>
    <col min="14371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6.85546875" style="4" customWidth="1"/>
    <col min="14619" max="14620" width="9.42578125" style="4" customWidth="1"/>
    <col min="14621" max="14621" width="0" style="4" hidden="1" customWidth="1"/>
    <col min="14622" max="14622" width="10.5703125" style="4" customWidth="1"/>
    <col min="14623" max="14625" width="9.140625" style="4"/>
    <col min="14626" max="14626" width="10.7109375" style="4" customWidth="1"/>
    <col min="14627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6.85546875" style="4" customWidth="1"/>
    <col min="14875" max="14876" width="9.42578125" style="4" customWidth="1"/>
    <col min="14877" max="14877" width="0" style="4" hidden="1" customWidth="1"/>
    <col min="14878" max="14878" width="10.5703125" style="4" customWidth="1"/>
    <col min="14879" max="14881" width="9.140625" style="4"/>
    <col min="14882" max="14882" width="10.7109375" style="4" customWidth="1"/>
    <col min="14883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6.85546875" style="4" customWidth="1"/>
    <col min="15131" max="15132" width="9.42578125" style="4" customWidth="1"/>
    <col min="15133" max="15133" width="0" style="4" hidden="1" customWidth="1"/>
    <col min="15134" max="15134" width="10.5703125" style="4" customWidth="1"/>
    <col min="15135" max="15137" width="9.140625" style="4"/>
    <col min="15138" max="15138" width="10.7109375" style="4" customWidth="1"/>
    <col min="15139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6.85546875" style="4" customWidth="1"/>
    <col min="15387" max="15388" width="9.42578125" style="4" customWidth="1"/>
    <col min="15389" max="15389" width="0" style="4" hidden="1" customWidth="1"/>
    <col min="15390" max="15390" width="10.5703125" style="4" customWidth="1"/>
    <col min="15391" max="15393" width="9.140625" style="4"/>
    <col min="15394" max="15394" width="10.7109375" style="4" customWidth="1"/>
    <col min="15395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6.85546875" style="4" customWidth="1"/>
    <col min="15643" max="15644" width="9.42578125" style="4" customWidth="1"/>
    <col min="15645" max="15645" width="0" style="4" hidden="1" customWidth="1"/>
    <col min="15646" max="15646" width="10.5703125" style="4" customWidth="1"/>
    <col min="15647" max="15649" width="9.140625" style="4"/>
    <col min="15650" max="15650" width="10.7109375" style="4" customWidth="1"/>
    <col min="15651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6.85546875" style="4" customWidth="1"/>
    <col min="15899" max="15900" width="9.42578125" style="4" customWidth="1"/>
    <col min="15901" max="15901" width="0" style="4" hidden="1" customWidth="1"/>
    <col min="15902" max="15902" width="10.5703125" style="4" customWidth="1"/>
    <col min="15903" max="15905" width="9.140625" style="4"/>
    <col min="15906" max="15906" width="10.7109375" style="4" customWidth="1"/>
    <col min="15907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6.85546875" style="4" customWidth="1"/>
    <col min="16155" max="16156" width="9.42578125" style="4" customWidth="1"/>
    <col min="16157" max="16157" width="0" style="4" hidden="1" customWidth="1"/>
    <col min="16158" max="16158" width="10.5703125" style="4" customWidth="1"/>
    <col min="16159" max="16161" width="9.140625" style="4"/>
    <col min="16162" max="16162" width="10.7109375" style="4" customWidth="1"/>
    <col min="16163" max="16384" width="9.140625" style="4"/>
  </cols>
  <sheetData>
    <row r="1" spans="1:39" ht="23.25" customHeight="1" x14ac:dyDescent="0.25">
      <c r="A1" s="1" t="s">
        <v>0</v>
      </c>
      <c r="B1" s="1"/>
      <c r="C1" s="1"/>
      <c r="D1" s="1"/>
      <c r="E1" s="2"/>
      <c r="F1" s="3"/>
    </row>
    <row r="2" spans="1:39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39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9" s="17" customFormat="1" ht="23.25" customHeight="1" x14ac:dyDescent="0.25">
      <c r="A4" s="16" t="s">
        <v>112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9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109</v>
      </c>
      <c r="AD5" s="19" t="s">
        <v>23</v>
      </c>
    </row>
    <row r="6" spans="1:39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</row>
    <row r="7" spans="1:39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</row>
    <row r="8" spans="1:39" s="1" customFormat="1" ht="33" customHeight="1" x14ac:dyDescent="0.25">
      <c r="A8" s="51">
        <v>1</v>
      </c>
      <c r="B8" s="52" t="s">
        <v>41</v>
      </c>
      <c r="C8" s="52" t="s">
        <v>42</v>
      </c>
      <c r="D8" s="53">
        <v>1000</v>
      </c>
      <c r="E8" s="54">
        <v>1844.2</v>
      </c>
      <c r="F8" s="55">
        <v>27.5</v>
      </c>
      <c r="G8" s="56">
        <v>1245</v>
      </c>
      <c r="H8" s="54">
        <v>8180</v>
      </c>
      <c r="I8" s="54">
        <v>103</v>
      </c>
      <c r="J8" s="57"/>
      <c r="K8" s="54">
        <v>500</v>
      </c>
      <c r="L8" s="6">
        <v>1600</v>
      </c>
      <c r="M8" s="54">
        <v>1500</v>
      </c>
      <c r="N8" s="58">
        <v>1141.048</v>
      </c>
      <c r="O8" s="54">
        <v>825</v>
      </c>
      <c r="P8" s="54">
        <v>100</v>
      </c>
      <c r="Q8" s="59"/>
      <c r="R8" s="60">
        <v>90</v>
      </c>
      <c r="S8" s="61">
        <v>18185.940307692308</v>
      </c>
      <c r="T8" s="62"/>
      <c r="U8" s="63">
        <v>1698.3040000000001</v>
      </c>
      <c r="V8" s="53">
        <v>30</v>
      </c>
      <c r="W8" s="54">
        <v>795</v>
      </c>
      <c r="X8" s="54">
        <v>160</v>
      </c>
      <c r="Y8" s="64"/>
      <c r="Z8" s="64"/>
      <c r="AA8" s="65">
        <v>2683.3040000000001</v>
      </c>
      <c r="AB8" s="65">
        <v>15502.636307692308</v>
      </c>
      <c r="AC8" s="66"/>
      <c r="AD8" s="65">
        <v>15502.636307692308</v>
      </c>
      <c r="AE8" s="67">
        <v>1844.2</v>
      </c>
      <c r="AF8" s="73">
        <v>-5155.8</v>
      </c>
      <c r="AG8" s="85">
        <v>-1546.74</v>
      </c>
      <c r="AH8" s="173">
        <v>16219.892307692309</v>
      </c>
      <c r="AI8" s="73">
        <v>819.89230769230926</v>
      </c>
      <c r="AJ8" s="74">
        <v>40.994615384615464</v>
      </c>
      <c r="AK8" s="73"/>
      <c r="AL8" s="174" t="s">
        <v>110</v>
      </c>
      <c r="AM8" s="85">
        <v>15400</v>
      </c>
    </row>
    <row r="9" spans="1:39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9624.84</v>
      </c>
      <c r="F9" s="55">
        <v>27.5</v>
      </c>
      <c r="G9" s="56">
        <v>1795</v>
      </c>
      <c r="H9" s="54">
        <v>0</v>
      </c>
      <c r="I9" s="54">
        <v>1169</v>
      </c>
      <c r="J9" s="57"/>
      <c r="K9" s="54">
        <v>500</v>
      </c>
      <c r="L9" s="75">
        <v>675</v>
      </c>
      <c r="M9" s="54"/>
      <c r="N9" s="58">
        <v>1141.048</v>
      </c>
      <c r="O9" s="54">
        <v>825</v>
      </c>
      <c r="P9" s="54">
        <v>100</v>
      </c>
      <c r="Q9" s="59">
        <v>787.452</v>
      </c>
      <c r="R9" s="54">
        <v>168</v>
      </c>
      <c r="S9" s="61">
        <v>17737.263076923078</v>
      </c>
      <c r="T9" s="62"/>
      <c r="U9" s="63">
        <v>1698.3040000000001</v>
      </c>
      <c r="V9" s="53">
        <v>30</v>
      </c>
      <c r="W9" s="54">
        <v>765</v>
      </c>
      <c r="X9" s="54">
        <v>122.682</v>
      </c>
      <c r="Y9" s="64"/>
      <c r="Z9" s="64"/>
      <c r="AA9" s="65">
        <v>2615.9859999999999</v>
      </c>
      <c r="AB9" s="65">
        <v>15121.277076923077</v>
      </c>
      <c r="AC9" s="66"/>
      <c r="AD9" s="65">
        <v>15121.277076923077</v>
      </c>
      <c r="AE9" s="67">
        <v>9624.84</v>
      </c>
      <c r="AF9" s="73">
        <v>2624.84</v>
      </c>
      <c r="AG9" s="85">
        <v>787.452</v>
      </c>
      <c r="AH9" s="173">
        <v>15771.215076923079</v>
      </c>
      <c r="AI9" s="73">
        <v>4771.2150769230793</v>
      </c>
      <c r="AJ9" s="74">
        <v>238.56075384615397</v>
      </c>
      <c r="AK9" s="73"/>
      <c r="AL9" s="74"/>
      <c r="AM9" s="73"/>
    </row>
    <row r="10" spans="1:39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10475.36</v>
      </c>
      <c r="F10" s="55">
        <v>26.5</v>
      </c>
      <c r="G10" s="56">
        <v>145</v>
      </c>
      <c r="H10" s="54"/>
      <c r="I10" s="54">
        <v>1542</v>
      </c>
      <c r="J10" s="57"/>
      <c r="K10" s="54">
        <v>200</v>
      </c>
      <c r="L10" s="75"/>
      <c r="M10" s="54"/>
      <c r="N10" s="58">
        <v>1141.048</v>
      </c>
      <c r="O10" s="54">
        <v>795</v>
      </c>
      <c r="P10" s="54">
        <v>100</v>
      </c>
      <c r="Q10" s="59">
        <v>1042.6080000000002</v>
      </c>
      <c r="R10" s="60">
        <v>127</v>
      </c>
      <c r="S10" s="61">
        <v>16077.631384615384</v>
      </c>
      <c r="T10" s="62"/>
      <c r="U10" s="63">
        <v>1698.3040000000001</v>
      </c>
      <c r="V10" s="53">
        <v>30</v>
      </c>
      <c r="W10" s="54">
        <v>735</v>
      </c>
      <c r="X10" s="54">
        <v>197.90899999999999</v>
      </c>
      <c r="Y10" s="64"/>
      <c r="Z10" s="64"/>
      <c r="AA10" s="65">
        <v>2661.2130000000002</v>
      </c>
      <c r="AB10" s="65">
        <v>13416.418384615385</v>
      </c>
      <c r="AC10" s="66"/>
      <c r="AD10" s="65">
        <v>13416.418384615385</v>
      </c>
      <c r="AE10" s="67">
        <v>10475.36</v>
      </c>
      <c r="AF10" s="73">
        <v>3475.3600000000006</v>
      </c>
      <c r="AG10" s="85">
        <v>1042.6080000000002</v>
      </c>
      <c r="AH10" s="173">
        <v>14141.583384615384</v>
      </c>
      <c r="AI10" s="73">
        <v>3141.5833846153837</v>
      </c>
      <c r="AJ10" s="74">
        <v>157.0791692307692</v>
      </c>
      <c r="AK10" s="73"/>
      <c r="AL10" s="74"/>
      <c r="AM10" s="73"/>
    </row>
    <row r="11" spans="1:39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5768.26</v>
      </c>
      <c r="F11" s="55">
        <v>25.5</v>
      </c>
      <c r="G11" s="56">
        <v>1707.5</v>
      </c>
      <c r="H11" s="54">
        <v>1150</v>
      </c>
      <c r="I11" s="54">
        <v>758</v>
      </c>
      <c r="J11" s="57"/>
      <c r="K11" s="54">
        <v>500</v>
      </c>
      <c r="L11" s="75">
        <v>1450</v>
      </c>
      <c r="M11" s="54"/>
      <c r="N11" s="58">
        <v>1141.048</v>
      </c>
      <c r="O11" s="54">
        <v>765</v>
      </c>
      <c r="P11" s="54"/>
      <c r="Q11" s="59"/>
      <c r="R11" s="60">
        <v>274</v>
      </c>
      <c r="S11" s="61">
        <v>14200.346461538462</v>
      </c>
      <c r="T11" s="62"/>
      <c r="U11" s="63">
        <v>1698.3040000000001</v>
      </c>
      <c r="V11" s="53">
        <v>30</v>
      </c>
      <c r="W11" s="54">
        <v>735</v>
      </c>
      <c r="X11" s="54"/>
      <c r="Y11" s="64"/>
      <c r="Z11" s="64"/>
      <c r="AA11" s="65">
        <v>2463.3040000000001</v>
      </c>
      <c r="AB11" s="65">
        <v>11737.042461538462</v>
      </c>
      <c r="AC11" s="66"/>
      <c r="AD11" s="65">
        <v>11737.042461538462</v>
      </c>
      <c r="AE11" s="67">
        <v>5768.26</v>
      </c>
      <c r="AF11" s="73">
        <v>-1231.7399999999998</v>
      </c>
      <c r="AG11" s="85">
        <v>-369.52199999999993</v>
      </c>
      <c r="AH11" s="173">
        <v>12294.298461538461</v>
      </c>
      <c r="AI11" s="73">
        <v>1294.2984615384612</v>
      </c>
      <c r="AJ11" s="74">
        <v>64.714923076923057</v>
      </c>
      <c r="AK11" s="73"/>
      <c r="AL11" s="74"/>
      <c r="AM11" s="73"/>
    </row>
    <row r="12" spans="1:39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4713.16</v>
      </c>
      <c r="F12" s="55">
        <v>25.5</v>
      </c>
      <c r="G12" s="56">
        <v>3120</v>
      </c>
      <c r="H12" s="54">
        <v>6499</v>
      </c>
      <c r="I12" s="54">
        <v>475</v>
      </c>
      <c r="J12" s="57"/>
      <c r="K12" s="54">
        <v>350</v>
      </c>
      <c r="L12" s="75">
        <v>600</v>
      </c>
      <c r="M12" s="54"/>
      <c r="N12" s="58">
        <v>1141.048</v>
      </c>
      <c r="O12" s="54">
        <v>765</v>
      </c>
      <c r="P12" s="54"/>
      <c r="Q12" s="59"/>
      <c r="R12" s="60">
        <v>180</v>
      </c>
      <c r="S12" s="61">
        <v>18627.823384615382</v>
      </c>
      <c r="T12" s="62"/>
      <c r="U12" s="63">
        <v>1698.3040000000001</v>
      </c>
      <c r="V12" s="53">
        <v>30</v>
      </c>
      <c r="W12" s="54">
        <v>765</v>
      </c>
      <c r="X12" s="54"/>
      <c r="Y12" s="64"/>
      <c r="Z12" s="64"/>
      <c r="AA12" s="65">
        <v>2493.3040000000001</v>
      </c>
      <c r="AB12" s="65">
        <v>16134.519384615382</v>
      </c>
      <c r="AC12" s="66"/>
      <c r="AD12" s="65">
        <v>16134.519384615382</v>
      </c>
      <c r="AE12" s="67">
        <v>4713.16</v>
      </c>
      <c r="AF12" s="73">
        <v>-2286.84</v>
      </c>
      <c r="AG12" s="85">
        <v>-686.05200000000002</v>
      </c>
      <c r="AH12" s="173">
        <v>16721.775384615383</v>
      </c>
      <c r="AI12" s="73">
        <v>5721.7753846153828</v>
      </c>
      <c r="AJ12" s="175">
        <v>322.17753846153835</v>
      </c>
      <c r="AK12" s="73"/>
      <c r="AL12" s="74"/>
      <c r="AM12" s="73"/>
    </row>
    <row r="13" spans="1:39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8491.94</v>
      </c>
      <c r="F13" s="55">
        <v>25.5</v>
      </c>
      <c r="G13" s="56">
        <v>1340</v>
      </c>
      <c r="H13" s="54">
        <v>1550</v>
      </c>
      <c r="I13" s="54">
        <v>952</v>
      </c>
      <c r="J13" s="57"/>
      <c r="K13" s="54">
        <v>300</v>
      </c>
      <c r="L13" s="75">
        <v>400</v>
      </c>
      <c r="M13" s="54"/>
      <c r="N13" s="58">
        <v>1141.048</v>
      </c>
      <c r="O13" s="54">
        <v>765</v>
      </c>
      <c r="P13" s="54">
        <v>100</v>
      </c>
      <c r="Q13" s="59">
        <v>447.58200000000016</v>
      </c>
      <c r="R13" s="60">
        <v>425</v>
      </c>
      <c r="S13" s="61">
        <v>16501.031538461539</v>
      </c>
      <c r="T13" s="62"/>
      <c r="U13" s="63">
        <v>1698.3040000000001</v>
      </c>
      <c r="V13" s="53">
        <v>30</v>
      </c>
      <c r="W13" s="54">
        <v>735</v>
      </c>
      <c r="X13" s="54">
        <v>135.31899999999999</v>
      </c>
      <c r="Y13" s="64"/>
      <c r="Z13" s="64"/>
      <c r="AA13" s="65">
        <v>2598.623</v>
      </c>
      <c r="AB13" s="65">
        <v>13902.408538461539</v>
      </c>
      <c r="AC13" s="66"/>
      <c r="AD13" s="65">
        <v>13902.408538461539</v>
      </c>
      <c r="AE13" s="67">
        <v>8491.94</v>
      </c>
      <c r="AF13" s="73">
        <v>1491.9400000000005</v>
      </c>
      <c r="AG13" s="85">
        <v>447.58200000000016</v>
      </c>
      <c r="AH13" s="173">
        <v>14594.983538461538</v>
      </c>
      <c r="AI13" s="73">
        <v>3594.983538461538</v>
      </c>
      <c r="AJ13" s="74">
        <v>179.7491769230769</v>
      </c>
      <c r="AK13" s="73"/>
      <c r="AL13" s="74"/>
      <c r="AM13" s="73"/>
    </row>
    <row r="14" spans="1:39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4809.0200000000004</v>
      </c>
      <c r="F14" s="55">
        <v>25</v>
      </c>
      <c r="G14" s="56">
        <v>1080</v>
      </c>
      <c r="H14" s="54">
        <v>2950</v>
      </c>
      <c r="I14" s="54">
        <v>632</v>
      </c>
      <c r="J14" s="57"/>
      <c r="K14" s="54">
        <v>500</v>
      </c>
      <c r="L14" s="75"/>
      <c r="M14" s="54"/>
      <c r="N14" s="58">
        <v>1141.048</v>
      </c>
      <c r="O14" s="54">
        <v>750</v>
      </c>
      <c r="P14" s="54"/>
      <c r="Q14" s="59"/>
      <c r="R14" s="60"/>
      <c r="S14" s="61">
        <v>12054.375692307691</v>
      </c>
      <c r="T14" s="62"/>
      <c r="U14" s="63">
        <v>1698.3040000000001</v>
      </c>
      <c r="V14" s="53">
        <v>30</v>
      </c>
      <c r="W14" s="54">
        <v>720</v>
      </c>
      <c r="X14" s="54"/>
      <c r="Y14" s="64"/>
      <c r="Z14" s="64"/>
      <c r="AA14" s="65">
        <v>2448.3040000000001</v>
      </c>
      <c r="AB14" s="65">
        <v>9606.0716923076907</v>
      </c>
      <c r="AC14" s="66"/>
      <c r="AD14" s="65">
        <v>9606.0716923076907</v>
      </c>
      <c r="AE14" s="67">
        <v>4809.0200000000004</v>
      </c>
      <c r="AF14" s="73">
        <v>-2190.9799999999996</v>
      </c>
      <c r="AG14" s="85">
        <v>-657.29399999999987</v>
      </c>
      <c r="AH14" s="173">
        <v>10163.32769230769</v>
      </c>
      <c r="AI14" s="73">
        <v>-836.67230769230991</v>
      </c>
      <c r="AJ14" s="74">
        <v>-41.833615384615499</v>
      </c>
      <c r="AK14" s="73"/>
      <c r="AL14" s="74"/>
      <c r="AM14" s="73"/>
    </row>
    <row r="15" spans="1:39" ht="33" customHeight="1" x14ac:dyDescent="0.25">
      <c r="A15" s="26" t="s">
        <v>54</v>
      </c>
      <c r="B15" s="31"/>
      <c r="C15" s="87"/>
      <c r="D15" s="62"/>
      <c r="E15" s="88">
        <v>45726.78</v>
      </c>
      <c r="F15" s="89"/>
      <c r="G15" s="90">
        <v>10432.5</v>
      </c>
      <c r="H15" s="90">
        <v>20329</v>
      </c>
      <c r="I15" s="90">
        <v>5631</v>
      </c>
      <c r="J15" s="90">
        <v>0</v>
      </c>
      <c r="K15" s="90">
        <v>2850</v>
      </c>
      <c r="L15" s="90">
        <v>4725</v>
      </c>
      <c r="M15" s="90">
        <v>1500</v>
      </c>
      <c r="N15" s="90">
        <v>7987.3359999999993</v>
      </c>
      <c r="O15" s="90">
        <v>5490</v>
      </c>
      <c r="P15" s="90">
        <v>400</v>
      </c>
      <c r="Q15" s="90">
        <v>2277.6420000000003</v>
      </c>
      <c r="R15" s="90">
        <v>1264</v>
      </c>
      <c r="S15" s="90">
        <v>113384.41184615385</v>
      </c>
      <c r="T15" s="90">
        <v>0</v>
      </c>
      <c r="U15" s="90">
        <v>11888.128000000001</v>
      </c>
      <c r="V15" s="90">
        <v>210</v>
      </c>
      <c r="W15" s="90">
        <v>5250</v>
      </c>
      <c r="X15" s="90">
        <v>615.91</v>
      </c>
      <c r="Y15" s="90">
        <v>0</v>
      </c>
      <c r="Z15" s="90">
        <v>0</v>
      </c>
      <c r="AA15" s="90">
        <v>17964.038</v>
      </c>
      <c r="AB15" s="90">
        <v>95420.373846153845</v>
      </c>
      <c r="AC15" s="90">
        <v>0</v>
      </c>
      <c r="AD15" s="90">
        <v>95420.373846153845</v>
      </c>
    </row>
    <row r="16" spans="1:39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36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 t="s">
        <v>111</v>
      </c>
      <c r="AA17" s="96"/>
      <c r="AB17" s="96"/>
      <c r="AC17" s="93"/>
      <c r="AD17" s="96"/>
    </row>
    <row r="18" spans="1:36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36" x14ac:dyDescent="0.25">
      <c r="B19" s="1"/>
      <c r="D19" s="6"/>
      <c r="H19" s="67"/>
      <c r="O19" s="6"/>
      <c r="S19" s="100"/>
      <c r="T19" s="100"/>
      <c r="X19" s="101"/>
      <c r="AA19" s="6"/>
      <c r="AJ19" s="67"/>
    </row>
    <row r="20" spans="1:36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36" x14ac:dyDescent="0.25">
      <c r="B21" s="1"/>
      <c r="D21" s="6"/>
      <c r="O21" s="6"/>
      <c r="S21" s="104"/>
      <c r="T21" s="100"/>
      <c r="U21" s="103"/>
      <c r="AA21" s="6"/>
      <c r="AH21" s="67"/>
    </row>
    <row r="22" spans="1:36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H22" s="114"/>
    </row>
    <row r="23" spans="1:36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F23" s="67"/>
      <c r="AH23" s="67"/>
    </row>
    <row r="24" spans="1:36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H24" s="67"/>
    </row>
    <row r="25" spans="1:36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H25" s="67"/>
    </row>
    <row r="26" spans="1:36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F26" s="67"/>
      <c r="AH26" s="67"/>
    </row>
    <row r="27" spans="1:36" s="1" customFormat="1" x14ac:dyDescent="0.25">
      <c r="E27" s="73"/>
      <c r="F27" s="98"/>
      <c r="L27" s="32"/>
      <c r="AH27" s="67"/>
    </row>
    <row r="28" spans="1:36" x14ac:dyDescent="0.25">
      <c r="AH28" s="67"/>
    </row>
    <row r="29" spans="1:36" x14ac:dyDescent="0.25">
      <c r="W29" s="103"/>
      <c r="AH29" s="67"/>
    </row>
    <row r="30" spans="1:36" x14ac:dyDescent="0.25">
      <c r="W30" s="103"/>
      <c r="AH30" s="67"/>
    </row>
    <row r="31" spans="1:36" x14ac:dyDescent="0.25">
      <c r="A31" s="8"/>
      <c r="B31" s="8"/>
      <c r="O31" s="103"/>
      <c r="AH31" s="67"/>
    </row>
    <row r="32" spans="1:36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H32" s="67"/>
    </row>
    <row r="33" spans="1:37" x14ac:dyDescent="0.25">
      <c r="A33" s="8"/>
      <c r="B33" s="8"/>
      <c r="AH33" s="67"/>
    </row>
    <row r="34" spans="1:37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H34" s="67"/>
    </row>
    <row r="35" spans="1:37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H35" s="67"/>
    </row>
    <row r="36" spans="1:37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H36" s="67"/>
    </row>
    <row r="37" spans="1:37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H37" s="67"/>
    </row>
    <row r="38" spans="1:37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119"/>
      <c r="AG38" s="4"/>
      <c r="AH38" s="67"/>
      <c r="AI38" s="4"/>
      <c r="AJ38" s="4"/>
      <c r="AK38" s="4"/>
    </row>
    <row r="39" spans="1:37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4"/>
      <c r="AG39" s="4"/>
      <c r="AH39" s="67"/>
      <c r="AI39" s="4"/>
    </row>
    <row r="40" spans="1:37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4"/>
      <c r="AG40" s="4"/>
      <c r="AH40" s="67"/>
      <c r="AI40" s="4"/>
    </row>
    <row r="41" spans="1:37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4"/>
      <c r="AG41" s="4"/>
      <c r="AH41" s="67"/>
      <c r="AI41" s="4"/>
    </row>
    <row r="42" spans="1:37" x14ac:dyDescent="0.25">
      <c r="AH42" s="67"/>
    </row>
    <row r="43" spans="1:37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4"/>
      <c r="AG43" s="4"/>
      <c r="AH43" s="67"/>
      <c r="AI43" s="4"/>
    </row>
    <row r="44" spans="1:37" x14ac:dyDescent="0.25">
      <c r="AH44" s="67"/>
    </row>
    <row r="45" spans="1:37" x14ac:dyDescent="0.25">
      <c r="AH45" s="67"/>
    </row>
    <row r="46" spans="1:37" x14ac:dyDescent="0.25">
      <c r="AH46" s="67"/>
    </row>
    <row r="47" spans="1:37" x14ac:dyDescent="0.25">
      <c r="AH47" s="67"/>
    </row>
    <row r="48" spans="1:37" x14ac:dyDescent="0.25">
      <c r="AH48" s="67"/>
    </row>
    <row r="49" spans="2:34" x14ac:dyDescent="0.25">
      <c r="AH49" s="67"/>
    </row>
    <row r="50" spans="2:34" x14ac:dyDescent="0.25">
      <c r="AH50" s="67"/>
    </row>
    <row r="51" spans="2:34" x14ac:dyDescent="0.25">
      <c r="AH51" s="67"/>
    </row>
    <row r="52" spans="2:34" x14ac:dyDescent="0.25">
      <c r="AH52" s="67"/>
    </row>
    <row r="55" spans="2:34" x14ac:dyDescent="0.25">
      <c r="B55" s="103"/>
      <c r="E55" s="122"/>
      <c r="F55" s="122"/>
    </row>
    <row r="60" spans="2:34" x14ac:dyDescent="0.25">
      <c r="V60" s="123"/>
    </row>
    <row r="91" spans="1:35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F91" s="4"/>
      <c r="AG91" s="4"/>
      <c r="AH91" s="4"/>
      <c r="AI91" s="4"/>
    </row>
    <row r="92" spans="1:35" x14ac:dyDescent="0.25">
      <c r="B92" s="124"/>
    </row>
    <row r="95" spans="1:35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F95" s="4"/>
      <c r="AG95" s="4"/>
      <c r="AH95" s="4"/>
      <c r="AI95" s="4"/>
    </row>
    <row r="96" spans="1:35" x14ac:dyDescent="0.25">
      <c r="A96" s="51"/>
    </row>
  </sheetData>
  <mergeCells count="40">
    <mergeCell ref="A15:B15"/>
    <mergeCell ref="C18:E18"/>
    <mergeCell ref="N22:P22"/>
    <mergeCell ref="E55:F55"/>
    <mergeCell ref="AD5:AD7"/>
    <mergeCell ref="K6:K7"/>
    <mergeCell ref="L6:L7"/>
    <mergeCell ref="M6:M7"/>
    <mergeCell ref="N6:N7"/>
    <mergeCell ref="O6:O7"/>
    <mergeCell ref="P6:P7"/>
    <mergeCell ref="R6:R7"/>
    <mergeCell ref="U6:U7"/>
    <mergeCell ref="V6:V7"/>
    <mergeCell ref="S5:S7"/>
    <mergeCell ref="T5:T7"/>
    <mergeCell ref="U5:Z5"/>
    <mergeCell ref="AA5:AA7"/>
    <mergeCell ref="AB5:AB7"/>
    <mergeCell ref="AC5:AC7"/>
    <mergeCell ref="W6:W7"/>
    <mergeCell ref="X6:X7"/>
    <mergeCell ref="Y6:Y7"/>
    <mergeCell ref="Z6:Z7"/>
    <mergeCell ref="G5:G7"/>
    <mergeCell ref="H5:H7"/>
    <mergeCell ref="I5:I7"/>
    <mergeCell ref="J5:J7"/>
    <mergeCell ref="K5:P5"/>
    <mergeCell ref="Q5:Q7"/>
    <mergeCell ref="A2:E2"/>
    <mergeCell ref="T2:U2"/>
    <mergeCell ref="A3:AD3"/>
    <mergeCell ref="A4:AD4"/>
    <mergeCell ref="A5:A7"/>
    <mergeCell ref="B5:B7"/>
    <mergeCell ref="C5:C7"/>
    <mergeCell ref="D5:D7"/>
    <mergeCell ref="E5:E7"/>
    <mergeCell ref="F5:F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topLeftCell="A7" workbookViewId="0">
      <selection activeCell="U19" sqref="U19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113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2000</v>
      </c>
      <c r="D8" s="143">
        <v>2900</v>
      </c>
      <c r="E8" s="143">
        <v>7900</v>
      </c>
      <c r="F8" s="143">
        <v>1500</v>
      </c>
      <c r="G8" s="143"/>
      <c r="H8" s="143">
        <v>1250</v>
      </c>
      <c r="I8" s="143">
        <v>4350</v>
      </c>
      <c r="J8" s="143"/>
      <c r="K8" s="143"/>
      <c r="L8" s="143"/>
      <c r="M8" s="143"/>
      <c r="N8" s="143">
        <v>2500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4</v>
      </c>
      <c r="D9" s="146">
        <v>5</v>
      </c>
      <c r="E9" s="146">
        <v>11.8</v>
      </c>
      <c r="F9" s="146">
        <v>3</v>
      </c>
      <c r="G9" s="146"/>
      <c r="H9" s="146">
        <v>2.5</v>
      </c>
      <c r="I9" s="146">
        <v>8</v>
      </c>
      <c r="J9" s="146"/>
      <c r="K9" s="148"/>
      <c r="L9" s="146"/>
      <c r="M9" s="146"/>
      <c r="N9" s="146">
        <v>5.3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15699</v>
      </c>
      <c r="D10" s="152">
        <f>1110+130</f>
        <v>1240</v>
      </c>
      <c r="E10" s="152">
        <v>15154</v>
      </c>
      <c r="F10" s="152">
        <v>10681</v>
      </c>
      <c r="G10" s="154"/>
      <c r="H10" s="154">
        <v>22143</v>
      </c>
      <c r="I10" s="154">
        <v>6553</v>
      </c>
      <c r="J10" s="152"/>
      <c r="K10" s="152"/>
      <c r="L10" s="152"/>
      <c r="M10" s="152"/>
      <c r="N10" s="152">
        <v>10663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/>
      <c r="I11" s="158"/>
      <c r="J11" s="156"/>
      <c r="K11" s="156"/>
      <c r="L11" s="156"/>
      <c r="M11" s="156"/>
      <c r="N11" s="156">
        <v>170</v>
      </c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14145</v>
      </c>
      <c r="D12" s="141">
        <v>6910</v>
      </c>
      <c r="E12" s="141">
        <v>27134</v>
      </c>
      <c r="F12" s="141">
        <v>9635</v>
      </c>
      <c r="G12" s="160"/>
      <c r="H12" s="160">
        <v>13842</v>
      </c>
      <c r="I12" s="160">
        <v>10770</v>
      </c>
      <c r="J12" s="143"/>
      <c r="K12" s="141"/>
      <c r="L12" s="141"/>
      <c r="M12" s="141"/>
      <c r="N12" s="141">
        <v>11471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4793</v>
      </c>
      <c r="D13" s="141">
        <v>170</v>
      </c>
      <c r="E13" s="141">
        <v>3863</v>
      </c>
      <c r="F13" s="141">
        <v>680</v>
      </c>
      <c r="G13" s="160"/>
      <c r="H13" s="160">
        <v>5720</v>
      </c>
      <c r="I13" s="160">
        <v>2310</v>
      </c>
      <c r="J13" s="143"/>
      <c r="K13" s="143"/>
      <c r="L13" s="141"/>
      <c r="M13" s="141"/>
      <c r="N13" s="141">
        <v>2300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>
        <v>1500</v>
      </c>
      <c r="D14" s="141">
        <v>2200</v>
      </c>
      <c r="E14" s="141"/>
      <c r="F14" s="141"/>
      <c r="G14" s="160"/>
      <c r="H14" s="160"/>
      <c r="I14" s="160">
        <v>1500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38137</v>
      </c>
      <c r="D18" s="164">
        <f>SUM(D10:D17)+D8</f>
        <v>13420</v>
      </c>
      <c r="E18" s="164">
        <f>SUM(E10:E17)+E8</f>
        <v>54051</v>
      </c>
      <c r="F18" s="164">
        <f>SUM(F10:F17)+F8</f>
        <v>22496</v>
      </c>
      <c r="G18" s="164">
        <f t="shared" ref="G18:N18" si="0">SUM(G10:G17)+G8</f>
        <v>0</v>
      </c>
      <c r="H18" s="164">
        <f t="shared" si="0"/>
        <v>42955</v>
      </c>
      <c r="I18" s="164">
        <f>SUM(I10:I17)+I8</f>
        <v>25483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27104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280</v>
      </c>
      <c r="D19" s="165">
        <f t="shared" ref="D19:N19" si="1">D9*70</f>
        <v>350</v>
      </c>
      <c r="E19" s="165">
        <f t="shared" si="1"/>
        <v>826</v>
      </c>
      <c r="F19" s="165">
        <f t="shared" si="1"/>
        <v>210</v>
      </c>
      <c r="G19" s="165">
        <f t="shared" si="1"/>
        <v>0</v>
      </c>
      <c r="H19" s="165">
        <f t="shared" si="1"/>
        <v>175</v>
      </c>
      <c r="I19" s="165">
        <f t="shared" si="1"/>
        <v>560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371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5023.68</v>
      </c>
      <c r="D20" s="165">
        <f t="shared" si="2"/>
        <v>396.8</v>
      </c>
      <c r="E20" s="165">
        <f t="shared" si="2"/>
        <v>4849.28</v>
      </c>
      <c r="F20" s="165">
        <f t="shared" si="2"/>
        <v>3417.92</v>
      </c>
      <c r="G20" s="165">
        <f t="shared" si="2"/>
        <v>0</v>
      </c>
      <c r="H20" s="165">
        <f t="shared" si="2"/>
        <v>7085.76</v>
      </c>
      <c r="I20" s="165">
        <f t="shared" si="2"/>
        <v>2096.96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3412.16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>C11*0.6</f>
        <v>0</v>
      </c>
      <c r="D21" s="165">
        <f t="shared" ref="D21:N21" si="3">D11*0.6</f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0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102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1414.5</v>
      </c>
      <c r="D22" s="165">
        <f t="shared" si="4"/>
        <v>691</v>
      </c>
      <c r="E22" s="165">
        <f t="shared" si="4"/>
        <v>2713.4</v>
      </c>
      <c r="F22" s="165">
        <f t="shared" si="4"/>
        <v>963.5</v>
      </c>
      <c r="G22" s="165">
        <f t="shared" si="4"/>
        <v>0</v>
      </c>
      <c r="H22" s="165">
        <f t="shared" si="4"/>
        <v>1384.2</v>
      </c>
      <c r="I22" s="165">
        <f t="shared" si="4"/>
        <v>1077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1147.1000000000001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1533.76</v>
      </c>
      <c r="D23" s="165">
        <f t="shared" si="5"/>
        <v>54.4</v>
      </c>
      <c r="E23" s="165">
        <f t="shared" si="5"/>
        <v>1236.1600000000001</v>
      </c>
      <c r="F23" s="165">
        <f t="shared" si="5"/>
        <v>217.6</v>
      </c>
      <c r="G23" s="165">
        <f t="shared" si="5"/>
        <v>0</v>
      </c>
      <c r="H23" s="165">
        <f t="shared" si="5"/>
        <v>1830.4</v>
      </c>
      <c r="I23" s="165">
        <f t="shared" si="5"/>
        <v>739.2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736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240</v>
      </c>
      <c r="D24" s="165">
        <f t="shared" si="6"/>
        <v>352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240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8491.94</v>
      </c>
      <c r="D28" s="168">
        <f t="shared" si="9"/>
        <v>1844.2</v>
      </c>
      <c r="E28" s="168">
        <f t="shared" si="9"/>
        <v>9624.84</v>
      </c>
      <c r="F28" s="168">
        <f t="shared" si="9"/>
        <v>4809.0200000000004</v>
      </c>
      <c r="G28" s="168">
        <f t="shared" si="9"/>
        <v>0</v>
      </c>
      <c r="H28" s="168">
        <f t="shared" si="9"/>
        <v>10475.36</v>
      </c>
      <c r="I28" s="168">
        <f t="shared" si="9"/>
        <v>4713.16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5768.26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45726.780000000006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6"/>
  <sheetViews>
    <sheetView workbookViewId="0">
      <selection activeCell="R19" sqref="R19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85546875" style="8" customWidth="1"/>
    <col min="27" max="28" width="9.42578125" style="1" customWidth="1"/>
    <col min="29" max="29" width="7.85546875" style="1" hidden="1" customWidth="1"/>
    <col min="30" max="30" width="10.5703125" style="4" customWidth="1"/>
    <col min="31" max="33" width="9.140625" style="4"/>
    <col min="34" max="34" width="10.7109375" style="4" customWidth="1"/>
    <col min="35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6.85546875" style="4" customWidth="1"/>
    <col min="283" max="284" width="9.42578125" style="4" customWidth="1"/>
    <col min="285" max="285" width="0" style="4" hidden="1" customWidth="1"/>
    <col min="286" max="286" width="10.5703125" style="4" customWidth="1"/>
    <col min="287" max="289" width="9.140625" style="4"/>
    <col min="290" max="290" width="10.7109375" style="4" customWidth="1"/>
    <col min="291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6.85546875" style="4" customWidth="1"/>
    <col min="539" max="540" width="9.42578125" style="4" customWidth="1"/>
    <col min="541" max="541" width="0" style="4" hidden="1" customWidth="1"/>
    <col min="542" max="542" width="10.5703125" style="4" customWidth="1"/>
    <col min="543" max="545" width="9.140625" style="4"/>
    <col min="546" max="546" width="10.7109375" style="4" customWidth="1"/>
    <col min="547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6.85546875" style="4" customWidth="1"/>
    <col min="795" max="796" width="9.42578125" style="4" customWidth="1"/>
    <col min="797" max="797" width="0" style="4" hidden="1" customWidth="1"/>
    <col min="798" max="798" width="10.5703125" style="4" customWidth="1"/>
    <col min="799" max="801" width="9.140625" style="4"/>
    <col min="802" max="802" width="10.7109375" style="4" customWidth="1"/>
    <col min="803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6.85546875" style="4" customWidth="1"/>
    <col min="1051" max="1052" width="9.42578125" style="4" customWidth="1"/>
    <col min="1053" max="1053" width="0" style="4" hidden="1" customWidth="1"/>
    <col min="1054" max="1054" width="10.5703125" style="4" customWidth="1"/>
    <col min="1055" max="1057" width="9.140625" style="4"/>
    <col min="1058" max="1058" width="10.7109375" style="4" customWidth="1"/>
    <col min="1059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6.85546875" style="4" customWidth="1"/>
    <col min="1307" max="1308" width="9.42578125" style="4" customWidth="1"/>
    <col min="1309" max="1309" width="0" style="4" hidden="1" customWidth="1"/>
    <col min="1310" max="1310" width="10.5703125" style="4" customWidth="1"/>
    <col min="1311" max="1313" width="9.140625" style="4"/>
    <col min="1314" max="1314" width="10.7109375" style="4" customWidth="1"/>
    <col min="1315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6.85546875" style="4" customWidth="1"/>
    <col min="1563" max="1564" width="9.42578125" style="4" customWidth="1"/>
    <col min="1565" max="1565" width="0" style="4" hidden="1" customWidth="1"/>
    <col min="1566" max="1566" width="10.5703125" style="4" customWidth="1"/>
    <col min="1567" max="1569" width="9.140625" style="4"/>
    <col min="1570" max="1570" width="10.7109375" style="4" customWidth="1"/>
    <col min="1571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6.85546875" style="4" customWidth="1"/>
    <col min="1819" max="1820" width="9.42578125" style="4" customWidth="1"/>
    <col min="1821" max="1821" width="0" style="4" hidden="1" customWidth="1"/>
    <col min="1822" max="1822" width="10.5703125" style="4" customWidth="1"/>
    <col min="1823" max="1825" width="9.140625" style="4"/>
    <col min="1826" max="1826" width="10.7109375" style="4" customWidth="1"/>
    <col min="1827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6.85546875" style="4" customWidth="1"/>
    <col min="2075" max="2076" width="9.42578125" style="4" customWidth="1"/>
    <col min="2077" max="2077" width="0" style="4" hidden="1" customWidth="1"/>
    <col min="2078" max="2078" width="10.5703125" style="4" customWidth="1"/>
    <col min="2079" max="2081" width="9.140625" style="4"/>
    <col min="2082" max="2082" width="10.7109375" style="4" customWidth="1"/>
    <col min="2083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6.85546875" style="4" customWidth="1"/>
    <col min="2331" max="2332" width="9.42578125" style="4" customWidth="1"/>
    <col min="2333" max="2333" width="0" style="4" hidden="1" customWidth="1"/>
    <col min="2334" max="2334" width="10.5703125" style="4" customWidth="1"/>
    <col min="2335" max="2337" width="9.140625" style="4"/>
    <col min="2338" max="2338" width="10.7109375" style="4" customWidth="1"/>
    <col min="2339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6.85546875" style="4" customWidth="1"/>
    <col min="2587" max="2588" width="9.42578125" style="4" customWidth="1"/>
    <col min="2589" max="2589" width="0" style="4" hidden="1" customWidth="1"/>
    <col min="2590" max="2590" width="10.5703125" style="4" customWidth="1"/>
    <col min="2591" max="2593" width="9.140625" style="4"/>
    <col min="2594" max="2594" width="10.7109375" style="4" customWidth="1"/>
    <col min="2595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6.85546875" style="4" customWidth="1"/>
    <col min="2843" max="2844" width="9.42578125" style="4" customWidth="1"/>
    <col min="2845" max="2845" width="0" style="4" hidden="1" customWidth="1"/>
    <col min="2846" max="2846" width="10.5703125" style="4" customWidth="1"/>
    <col min="2847" max="2849" width="9.140625" style="4"/>
    <col min="2850" max="2850" width="10.7109375" style="4" customWidth="1"/>
    <col min="2851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6.85546875" style="4" customWidth="1"/>
    <col min="3099" max="3100" width="9.42578125" style="4" customWidth="1"/>
    <col min="3101" max="3101" width="0" style="4" hidden="1" customWidth="1"/>
    <col min="3102" max="3102" width="10.5703125" style="4" customWidth="1"/>
    <col min="3103" max="3105" width="9.140625" style="4"/>
    <col min="3106" max="3106" width="10.7109375" style="4" customWidth="1"/>
    <col min="3107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6.85546875" style="4" customWidth="1"/>
    <col min="3355" max="3356" width="9.42578125" style="4" customWidth="1"/>
    <col min="3357" max="3357" width="0" style="4" hidden="1" customWidth="1"/>
    <col min="3358" max="3358" width="10.5703125" style="4" customWidth="1"/>
    <col min="3359" max="3361" width="9.140625" style="4"/>
    <col min="3362" max="3362" width="10.7109375" style="4" customWidth="1"/>
    <col min="3363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6.85546875" style="4" customWidth="1"/>
    <col min="3611" max="3612" width="9.42578125" style="4" customWidth="1"/>
    <col min="3613" max="3613" width="0" style="4" hidden="1" customWidth="1"/>
    <col min="3614" max="3614" width="10.5703125" style="4" customWidth="1"/>
    <col min="3615" max="3617" width="9.140625" style="4"/>
    <col min="3618" max="3618" width="10.7109375" style="4" customWidth="1"/>
    <col min="3619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6.85546875" style="4" customWidth="1"/>
    <col min="3867" max="3868" width="9.42578125" style="4" customWidth="1"/>
    <col min="3869" max="3869" width="0" style="4" hidden="1" customWidth="1"/>
    <col min="3870" max="3870" width="10.5703125" style="4" customWidth="1"/>
    <col min="3871" max="3873" width="9.140625" style="4"/>
    <col min="3874" max="3874" width="10.7109375" style="4" customWidth="1"/>
    <col min="3875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6.85546875" style="4" customWidth="1"/>
    <col min="4123" max="4124" width="9.42578125" style="4" customWidth="1"/>
    <col min="4125" max="4125" width="0" style="4" hidden="1" customWidth="1"/>
    <col min="4126" max="4126" width="10.5703125" style="4" customWidth="1"/>
    <col min="4127" max="4129" width="9.140625" style="4"/>
    <col min="4130" max="4130" width="10.7109375" style="4" customWidth="1"/>
    <col min="4131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6.85546875" style="4" customWidth="1"/>
    <col min="4379" max="4380" width="9.42578125" style="4" customWidth="1"/>
    <col min="4381" max="4381" width="0" style="4" hidden="1" customWidth="1"/>
    <col min="4382" max="4382" width="10.5703125" style="4" customWidth="1"/>
    <col min="4383" max="4385" width="9.140625" style="4"/>
    <col min="4386" max="4386" width="10.7109375" style="4" customWidth="1"/>
    <col min="4387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6.85546875" style="4" customWidth="1"/>
    <col min="4635" max="4636" width="9.42578125" style="4" customWidth="1"/>
    <col min="4637" max="4637" width="0" style="4" hidden="1" customWidth="1"/>
    <col min="4638" max="4638" width="10.5703125" style="4" customWidth="1"/>
    <col min="4639" max="4641" width="9.140625" style="4"/>
    <col min="4642" max="4642" width="10.7109375" style="4" customWidth="1"/>
    <col min="4643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6.85546875" style="4" customWidth="1"/>
    <col min="4891" max="4892" width="9.42578125" style="4" customWidth="1"/>
    <col min="4893" max="4893" width="0" style="4" hidden="1" customWidth="1"/>
    <col min="4894" max="4894" width="10.5703125" style="4" customWidth="1"/>
    <col min="4895" max="4897" width="9.140625" style="4"/>
    <col min="4898" max="4898" width="10.7109375" style="4" customWidth="1"/>
    <col min="4899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6.85546875" style="4" customWidth="1"/>
    <col min="5147" max="5148" width="9.42578125" style="4" customWidth="1"/>
    <col min="5149" max="5149" width="0" style="4" hidden="1" customWidth="1"/>
    <col min="5150" max="5150" width="10.5703125" style="4" customWidth="1"/>
    <col min="5151" max="5153" width="9.140625" style="4"/>
    <col min="5154" max="5154" width="10.7109375" style="4" customWidth="1"/>
    <col min="5155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6.85546875" style="4" customWidth="1"/>
    <col min="5403" max="5404" width="9.42578125" style="4" customWidth="1"/>
    <col min="5405" max="5405" width="0" style="4" hidden="1" customWidth="1"/>
    <col min="5406" max="5406" width="10.5703125" style="4" customWidth="1"/>
    <col min="5407" max="5409" width="9.140625" style="4"/>
    <col min="5410" max="5410" width="10.7109375" style="4" customWidth="1"/>
    <col min="5411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6.85546875" style="4" customWidth="1"/>
    <col min="5659" max="5660" width="9.42578125" style="4" customWidth="1"/>
    <col min="5661" max="5661" width="0" style="4" hidden="1" customWidth="1"/>
    <col min="5662" max="5662" width="10.5703125" style="4" customWidth="1"/>
    <col min="5663" max="5665" width="9.140625" style="4"/>
    <col min="5666" max="5666" width="10.7109375" style="4" customWidth="1"/>
    <col min="5667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6.85546875" style="4" customWidth="1"/>
    <col min="5915" max="5916" width="9.42578125" style="4" customWidth="1"/>
    <col min="5917" max="5917" width="0" style="4" hidden="1" customWidth="1"/>
    <col min="5918" max="5918" width="10.5703125" style="4" customWidth="1"/>
    <col min="5919" max="5921" width="9.140625" style="4"/>
    <col min="5922" max="5922" width="10.7109375" style="4" customWidth="1"/>
    <col min="5923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6.85546875" style="4" customWidth="1"/>
    <col min="6171" max="6172" width="9.42578125" style="4" customWidth="1"/>
    <col min="6173" max="6173" width="0" style="4" hidden="1" customWidth="1"/>
    <col min="6174" max="6174" width="10.5703125" style="4" customWidth="1"/>
    <col min="6175" max="6177" width="9.140625" style="4"/>
    <col min="6178" max="6178" width="10.7109375" style="4" customWidth="1"/>
    <col min="6179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6.85546875" style="4" customWidth="1"/>
    <col min="6427" max="6428" width="9.42578125" style="4" customWidth="1"/>
    <col min="6429" max="6429" width="0" style="4" hidden="1" customWidth="1"/>
    <col min="6430" max="6430" width="10.5703125" style="4" customWidth="1"/>
    <col min="6431" max="6433" width="9.140625" style="4"/>
    <col min="6434" max="6434" width="10.7109375" style="4" customWidth="1"/>
    <col min="6435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6.85546875" style="4" customWidth="1"/>
    <col min="6683" max="6684" width="9.42578125" style="4" customWidth="1"/>
    <col min="6685" max="6685" width="0" style="4" hidden="1" customWidth="1"/>
    <col min="6686" max="6686" width="10.5703125" style="4" customWidth="1"/>
    <col min="6687" max="6689" width="9.140625" style="4"/>
    <col min="6690" max="6690" width="10.7109375" style="4" customWidth="1"/>
    <col min="6691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6.85546875" style="4" customWidth="1"/>
    <col min="6939" max="6940" width="9.42578125" style="4" customWidth="1"/>
    <col min="6941" max="6941" width="0" style="4" hidden="1" customWidth="1"/>
    <col min="6942" max="6942" width="10.5703125" style="4" customWidth="1"/>
    <col min="6943" max="6945" width="9.140625" style="4"/>
    <col min="6946" max="6946" width="10.7109375" style="4" customWidth="1"/>
    <col min="6947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6.85546875" style="4" customWidth="1"/>
    <col min="7195" max="7196" width="9.42578125" style="4" customWidth="1"/>
    <col min="7197" max="7197" width="0" style="4" hidden="1" customWidth="1"/>
    <col min="7198" max="7198" width="10.5703125" style="4" customWidth="1"/>
    <col min="7199" max="7201" width="9.140625" style="4"/>
    <col min="7202" max="7202" width="10.7109375" style="4" customWidth="1"/>
    <col min="7203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6.85546875" style="4" customWidth="1"/>
    <col min="7451" max="7452" width="9.42578125" style="4" customWidth="1"/>
    <col min="7453" max="7453" width="0" style="4" hidden="1" customWidth="1"/>
    <col min="7454" max="7454" width="10.5703125" style="4" customWidth="1"/>
    <col min="7455" max="7457" width="9.140625" style="4"/>
    <col min="7458" max="7458" width="10.7109375" style="4" customWidth="1"/>
    <col min="7459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6.85546875" style="4" customWidth="1"/>
    <col min="7707" max="7708" width="9.42578125" style="4" customWidth="1"/>
    <col min="7709" max="7709" width="0" style="4" hidden="1" customWidth="1"/>
    <col min="7710" max="7710" width="10.5703125" style="4" customWidth="1"/>
    <col min="7711" max="7713" width="9.140625" style="4"/>
    <col min="7714" max="7714" width="10.7109375" style="4" customWidth="1"/>
    <col min="7715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6.85546875" style="4" customWidth="1"/>
    <col min="7963" max="7964" width="9.42578125" style="4" customWidth="1"/>
    <col min="7965" max="7965" width="0" style="4" hidden="1" customWidth="1"/>
    <col min="7966" max="7966" width="10.5703125" style="4" customWidth="1"/>
    <col min="7967" max="7969" width="9.140625" style="4"/>
    <col min="7970" max="7970" width="10.7109375" style="4" customWidth="1"/>
    <col min="7971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6.85546875" style="4" customWidth="1"/>
    <col min="8219" max="8220" width="9.42578125" style="4" customWidth="1"/>
    <col min="8221" max="8221" width="0" style="4" hidden="1" customWidth="1"/>
    <col min="8222" max="8222" width="10.5703125" style="4" customWidth="1"/>
    <col min="8223" max="8225" width="9.140625" style="4"/>
    <col min="8226" max="8226" width="10.7109375" style="4" customWidth="1"/>
    <col min="8227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6.85546875" style="4" customWidth="1"/>
    <col min="8475" max="8476" width="9.42578125" style="4" customWidth="1"/>
    <col min="8477" max="8477" width="0" style="4" hidden="1" customWidth="1"/>
    <col min="8478" max="8478" width="10.5703125" style="4" customWidth="1"/>
    <col min="8479" max="8481" width="9.140625" style="4"/>
    <col min="8482" max="8482" width="10.7109375" style="4" customWidth="1"/>
    <col min="8483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6.85546875" style="4" customWidth="1"/>
    <col min="8731" max="8732" width="9.42578125" style="4" customWidth="1"/>
    <col min="8733" max="8733" width="0" style="4" hidden="1" customWidth="1"/>
    <col min="8734" max="8734" width="10.5703125" style="4" customWidth="1"/>
    <col min="8735" max="8737" width="9.140625" style="4"/>
    <col min="8738" max="8738" width="10.7109375" style="4" customWidth="1"/>
    <col min="8739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6.85546875" style="4" customWidth="1"/>
    <col min="8987" max="8988" width="9.42578125" style="4" customWidth="1"/>
    <col min="8989" max="8989" width="0" style="4" hidden="1" customWidth="1"/>
    <col min="8990" max="8990" width="10.5703125" style="4" customWidth="1"/>
    <col min="8991" max="8993" width="9.140625" style="4"/>
    <col min="8994" max="8994" width="10.7109375" style="4" customWidth="1"/>
    <col min="8995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6.85546875" style="4" customWidth="1"/>
    <col min="9243" max="9244" width="9.42578125" style="4" customWidth="1"/>
    <col min="9245" max="9245" width="0" style="4" hidden="1" customWidth="1"/>
    <col min="9246" max="9246" width="10.5703125" style="4" customWidth="1"/>
    <col min="9247" max="9249" width="9.140625" style="4"/>
    <col min="9250" max="9250" width="10.7109375" style="4" customWidth="1"/>
    <col min="9251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6.85546875" style="4" customWidth="1"/>
    <col min="9499" max="9500" width="9.42578125" style="4" customWidth="1"/>
    <col min="9501" max="9501" width="0" style="4" hidden="1" customWidth="1"/>
    <col min="9502" max="9502" width="10.5703125" style="4" customWidth="1"/>
    <col min="9503" max="9505" width="9.140625" style="4"/>
    <col min="9506" max="9506" width="10.7109375" style="4" customWidth="1"/>
    <col min="9507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6.85546875" style="4" customWidth="1"/>
    <col min="9755" max="9756" width="9.42578125" style="4" customWidth="1"/>
    <col min="9757" max="9757" width="0" style="4" hidden="1" customWidth="1"/>
    <col min="9758" max="9758" width="10.5703125" style="4" customWidth="1"/>
    <col min="9759" max="9761" width="9.140625" style="4"/>
    <col min="9762" max="9762" width="10.7109375" style="4" customWidth="1"/>
    <col min="9763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6.85546875" style="4" customWidth="1"/>
    <col min="10011" max="10012" width="9.42578125" style="4" customWidth="1"/>
    <col min="10013" max="10013" width="0" style="4" hidden="1" customWidth="1"/>
    <col min="10014" max="10014" width="10.5703125" style="4" customWidth="1"/>
    <col min="10015" max="10017" width="9.140625" style="4"/>
    <col min="10018" max="10018" width="10.7109375" style="4" customWidth="1"/>
    <col min="10019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6.85546875" style="4" customWidth="1"/>
    <col min="10267" max="10268" width="9.42578125" style="4" customWidth="1"/>
    <col min="10269" max="10269" width="0" style="4" hidden="1" customWidth="1"/>
    <col min="10270" max="10270" width="10.5703125" style="4" customWidth="1"/>
    <col min="10271" max="10273" width="9.140625" style="4"/>
    <col min="10274" max="10274" width="10.7109375" style="4" customWidth="1"/>
    <col min="10275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6.85546875" style="4" customWidth="1"/>
    <col min="10523" max="10524" width="9.42578125" style="4" customWidth="1"/>
    <col min="10525" max="10525" width="0" style="4" hidden="1" customWidth="1"/>
    <col min="10526" max="10526" width="10.5703125" style="4" customWidth="1"/>
    <col min="10527" max="10529" width="9.140625" style="4"/>
    <col min="10530" max="10530" width="10.7109375" style="4" customWidth="1"/>
    <col min="10531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6.85546875" style="4" customWidth="1"/>
    <col min="10779" max="10780" width="9.42578125" style="4" customWidth="1"/>
    <col min="10781" max="10781" width="0" style="4" hidden="1" customWidth="1"/>
    <col min="10782" max="10782" width="10.5703125" style="4" customWidth="1"/>
    <col min="10783" max="10785" width="9.140625" style="4"/>
    <col min="10786" max="10786" width="10.7109375" style="4" customWidth="1"/>
    <col min="10787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6.85546875" style="4" customWidth="1"/>
    <col min="11035" max="11036" width="9.42578125" style="4" customWidth="1"/>
    <col min="11037" max="11037" width="0" style="4" hidden="1" customWidth="1"/>
    <col min="11038" max="11038" width="10.5703125" style="4" customWidth="1"/>
    <col min="11039" max="11041" width="9.140625" style="4"/>
    <col min="11042" max="11042" width="10.7109375" style="4" customWidth="1"/>
    <col min="11043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6.85546875" style="4" customWidth="1"/>
    <col min="11291" max="11292" width="9.42578125" style="4" customWidth="1"/>
    <col min="11293" max="11293" width="0" style="4" hidden="1" customWidth="1"/>
    <col min="11294" max="11294" width="10.5703125" style="4" customWidth="1"/>
    <col min="11295" max="11297" width="9.140625" style="4"/>
    <col min="11298" max="11298" width="10.7109375" style="4" customWidth="1"/>
    <col min="11299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6.85546875" style="4" customWidth="1"/>
    <col min="11547" max="11548" width="9.42578125" style="4" customWidth="1"/>
    <col min="11549" max="11549" width="0" style="4" hidden="1" customWidth="1"/>
    <col min="11550" max="11550" width="10.5703125" style="4" customWidth="1"/>
    <col min="11551" max="11553" width="9.140625" style="4"/>
    <col min="11554" max="11554" width="10.7109375" style="4" customWidth="1"/>
    <col min="11555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6.85546875" style="4" customWidth="1"/>
    <col min="11803" max="11804" width="9.42578125" style="4" customWidth="1"/>
    <col min="11805" max="11805" width="0" style="4" hidden="1" customWidth="1"/>
    <col min="11806" max="11806" width="10.5703125" style="4" customWidth="1"/>
    <col min="11807" max="11809" width="9.140625" style="4"/>
    <col min="11810" max="11810" width="10.7109375" style="4" customWidth="1"/>
    <col min="11811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6.85546875" style="4" customWidth="1"/>
    <col min="12059" max="12060" width="9.42578125" style="4" customWidth="1"/>
    <col min="12061" max="12061" width="0" style="4" hidden="1" customWidth="1"/>
    <col min="12062" max="12062" width="10.5703125" style="4" customWidth="1"/>
    <col min="12063" max="12065" width="9.140625" style="4"/>
    <col min="12066" max="12066" width="10.7109375" style="4" customWidth="1"/>
    <col min="12067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6.85546875" style="4" customWidth="1"/>
    <col min="12315" max="12316" width="9.42578125" style="4" customWidth="1"/>
    <col min="12317" max="12317" width="0" style="4" hidden="1" customWidth="1"/>
    <col min="12318" max="12318" width="10.5703125" style="4" customWidth="1"/>
    <col min="12319" max="12321" width="9.140625" style="4"/>
    <col min="12322" max="12322" width="10.7109375" style="4" customWidth="1"/>
    <col min="12323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6.85546875" style="4" customWidth="1"/>
    <col min="12571" max="12572" width="9.42578125" style="4" customWidth="1"/>
    <col min="12573" max="12573" width="0" style="4" hidden="1" customWidth="1"/>
    <col min="12574" max="12574" width="10.5703125" style="4" customWidth="1"/>
    <col min="12575" max="12577" width="9.140625" style="4"/>
    <col min="12578" max="12578" width="10.7109375" style="4" customWidth="1"/>
    <col min="12579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6.85546875" style="4" customWidth="1"/>
    <col min="12827" max="12828" width="9.42578125" style="4" customWidth="1"/>
    <col min="12829" max="12829" width="0" style="4" hidden="1" customWidth="1"/>
    <col min="12830" max="12830" width="10.5703125" style="4" customWidth="1"/>
    <col min="12831" max="12833" width="9.140625" style="4"/>
    <col min="12834" max="12834" width="10.7109375" style="4" customWidth="1"/>
    <col min="12835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6.85546875" style="4" customWidth="1"/>
    <col min="13083" max="13084" width="9.42578125" style="4" customWidth="1"/>
    <col min="13085" max="13085" width="0" style="4" hidden="1" customWidth="1"/>
    <col min="13086" max="13086" width="10.5703125" style="4" customWidth="1"/>
    <col min="13087" max="13089" width="9.140625" style="4"/>
    <col min="13090" max="13090" width="10.7109375" style="4" customWidth="1"/>
    <col min="13091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6.85546875" style="4" customWidth="1"/>
    <col min="13339" max="13340" width="9.42578125" style="4" customWidth="1"/>
    <col min="13341" max="13341" width="0" style="4" hidden="1" customWidth="1"/>
    <col min="13342" max="13342" width="10.5703125" style="4" customWidth="1"/>
    <col min="13343" max="13345" width="9.140625" style="4"/>
    <col min="13346" max="13346" width="10.7109375" style="4" customWidth="1"/>
    <col min="13347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6.85546875" style="4" customWidth="1"/>
    <col min="13595" max="13596" width="9.42578125" style="4" customWidth="1"/>
    <col min="13597" max="13597" width="0" style="4" hidden="1" customWidth="1"/>
    <col min="13598" max="13598" width="10.5703125" style="4" customWidth="1"/>
    <col min="13599" max="13601" width="9.140625" style="4"/>
    <col min="13602" max="13602" width="10.7109375" style="4" customWidth="1"/>
    <col min="13603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6.85546875" style="4" customWidth="1"/>
    <col min="13851" max="13852" width="9.42578125" style="4" customWidth="1"/>
    <col min="13853" max="13853" width="0" style="4" hidden="1" customWidth="1"/>
    <col min="13854" max="13854" width="10.5703125" style="4" customWidth="1"/>
    <col min="13855" max="13857" width="9.140625" style="4"/>
    <col min="13858" max="13858" width="10.7109375" style="4" customWidth="1"/>
    <col min="13859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6.85546875" style="4" customWidth="1"/>
    <col min="14107" max="14108" width="9.42578125" style="4" customWidth="1"/>
    <col min="14109" max="14109" width="0" style="4" hidden="1" customWidth="1"/>
    <col min="14110" max="14110" width="10.5703125" style="4" customWidth="1"/>
    <col min="14111" max="14113" width="9.140625" style="4"/>
    <col min="14114" max="14114" width="10.7109375" style="4" customWidth="1"/>
    <col min="14115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6.85546875" style="4" customWidth="1"/>
    <col min="14363" max="14364" width="9.42578125" style="4" customWidth="1"/>
    <col min="14365" max="14365" width="0" style="4" hidden="1" customWidth="1"/>
    <col min="14366" max="14366" width="10.5703125" style="4" customWidth="1"/>
    <col min="14367" max="14369" width="9.140625" style="4"/>
    <col min="14370" max="14370" width="10.7109375" style="4" customWidth="1"/>
    <col min="14371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6.85546875" style="4" customWidth="1"/>
    <col min="14619" max="14620" width="9.42578125" style="4" customWidth="1"/>
    <col min="14621" max="14621" width="0" style="4" hidden="1" customWidth="1"/>
    <col min="14622" max="14622" width="10.5703125" style="4" customWidth="1"/>
    <col min="14623" max="14625" width="9.140625" style="4"/>
    <col min="14626" max="14626" width="10.7109375" style="4" customWidth="1"/>
    <col min="14627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6.85546875" style="4" customWidth="1"/>
    <col min="14875" max="14876" width="9.42578125" style="4" customWidth="1"/>
    <col min="14877" max="14877" width="0" style="4" hidden="1" customWidth="1"/>
    <col min="14878" max="14878" width="10.5703125" style="4" customWidth="1"/>
    <col min="14879" max="14881" width="9.140625" style="4"/>
    <col min="14882" max="14882" width="10.7109375" style="4" customWidth="1"/>
    <col min="14883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6.85546875" style="4" customWidth="1"/>
    <col min="15131" max="15132" width="9.42578125" style="4" customWidth="1"/>
    <col min="15133" max="15133" width="0" style="4" hidden="1" customWidth="1"/>
    <col min="15134" max="15134" width="10.5703125" style="4" customWidth="1"/>
    <col min="15135" max="15137" width="9.140625" style="4"/>
    <col min="15138" max="15138" width="10.7109375" style="4" customWidth="1"/>
    <col min="15139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6.85546875" style="4" customWidth="1"/>
    <col min="15387" max="15388" width="9.42578125" style="4" customWidth="1"/>
    <col min="15389" max="15389" width="0" style="4" hidden="1" customWidth="1"/>
    <col min="15390" max="15390" width="10.5703125" style="4" customWidth="1"/>
    <col min="15391" max="15393" width="9.140625" style="4"/>
    <col min="15394" max="15394" width="10.7109375" style="4" customWidth="1"/>
    <col min="15395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6.85546875" style="4" customWidth="1"/>
    <col min="15643" max="15644" width="9.42578125" style="4" customWidth="1"/>
    <col min="15645" max="15645" width="0" style="4" hidden="1" customWidth="1"/>
    <col min="15646" max="15646" width="10.5703125" style="4" customWidth="1"/>
    <col min="15647" max="15649" width="9.140625" style="4"/>
    <col min="15650" max="15650" width="10.7109375" style="4" customWidth="1"/>
    <col min="15651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6.85546875" style="4" customWidth="1"/>
    <col min="15899" max="15900" width="9.42578125" style="4" customWidth="1"/>
    <col min="15901" max="15901" width="0" style="4" hidden="1" customWidth="1"/>
    <col min="15902" max="15902" width="10.5703125" style="4" customWidth="1"/>
    <col min="15903" max="15905" width="9.140625" style="4"/>
    <col min="15906" max="15906" width="10.7109375" style="4" customWidth="1"/>
    <col min="15907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6.85546875" style="4" customWidth="1"/>
    <col min="16155" max="16156" width="9.42578125" style="4" customWidth="1"/>
    <col min="16157" max="16157" width="0" style="4" hidden="1" customWidth="1"/>
    <col min="16158" max="16158" width="10.5703125" style="4" customWidth="1"/>
    <col min="16159" max="16161" width="9.140625" style="4"/>
    <col min="16162" max="16162" width="10.7109375" style="4" customWidth="1"/>
    <col min="16163" max="16384" width="9.140625" style="4"/>
  </cols>
  <sheetData>
    <row r="1" spans="1:39" ht="23.25" customHeight="1" x14ac:dyDescent="0.25">
      <c r="A1" s="1" t="s">
        <v>0</v>
      </c>
      <c r="B1" s="1"/>
      <c r="C1" s="1"/>
      <c r="D1" s="1"/>
      <c r="E1" s="2"/>
      <c r="F1" s="3"/>
    </row>
    <row r="2" spans="1:39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39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9" s="17" customFormat="1" ht="23.25" customHeight="1" x14ac:dyDescent="0.25">
      <c r="A4" s="16" t="s">
        <v>114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9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109</v>
      </c>
      <c r="AD5" s="19" t="s">
        <v>23</v>
      </c>
    </row>
    <row r="6" spans="1:39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</row>
    <row r="7" spans="1:39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</row>
    <row r="8" spans="1:39" s="1" customFormat="1" ht="33" customHeight="1" x14ac:dyDescent="0.25">
      <c r="A8" s="51">
        <v>1</v>
      </c>
      <c r="B8" s="52" t="s">
        <v>41</v>
      </c>
      <c r="C8" s="52" t="s">
        <v>42</v>
      </c>
      <c r="D8" s="53">
        <v>1000</v>
      </c>
      <c r="E8" s="54">
        <v>3276.58</v>
      </c>
      <c r="F8" s="55">
        <v>28.5</v>
      </c>
      <c r="G8" s="56">
        <v>900</v>
      </c>
      <c r="H8" s="54">
        <v>11156</v>
      </c>
      <c r="I8" s="54">
        <v>189</v>
      </c>
      <c r="J8" s="57"/>
      <c r="K8" s="54">
        <v>450</v>
      </c>
      <c r="L8" s="6">
        <v>800</v>
      </c>
      <c r="M8" s="54">
        <v>1500</v>
      </c>
      <c r="N8" s="58">
        <v>1141.048</v>
      </c>
      <c r="O8" s="54">
        <v>855</v>
      </c>
      <c r="P8" s="54">
        <v>100</v>
      </c>
      <c r="Q8" s="59"/>
      <c r="R8" s="60"/>
      <c r="S8" s="61">
        <v>21555.128000000004</v>
      </c>
      <c r="T8" s="62"/>
      <c r="U8" s="63">
        <v>1698.3040000000001</v>
      </c>
      <c r="V8" s="53">
        <v>30</v>
      </c>
      <c r="W8" s="54">
        <v>820</v>
      </c>
      <c r="X8" s="54">
        <v>180</v>
      </c>
      <c r="Y8" s="64"/>
      <c r="Z8" s="64">
        <v>207.95400000000029</v>
      </c>
      <c r="AA8" s="65">
        <v>2936.2580000000003</v>
      </c>
      <c r="AB8" s="65">
        <v>18618.870000000003</v>
      </c>
      <c r="AC8" s="66"/>
      <c r="AD8" s="65">
        <v>18618.870000000003</v>
      </c>
      <c r="AE8" s="67">
        <v>3276.58</v>
      </c>
      <c r="AF8" s="73">
        <v>-3723.42</v>
      </c>
      <c r="AG8" s="85">
        <v>-1117.0260000000001</v>
      </c>
      <c r="AH8" s="173">
        <v>19559.080000000005</v>
      </c>
      <c r="AI8" s="73">
        <v>4159.0800000000054</v>
      </c>
      <c r="AJ8" s="74">
        <v>207.95400000000029</v>
      </c>
      <c r="AK8" s="73"/>
      <c r="AL8" s="174" t="s">
        <v>110</v>
      </c>
      <c r="AM8" s="85">
        <v>15400</v>
      </c>
    </row>
    <row r="9" spans="1:39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9369.4</v>
      </c>
      <c r="F9" s="55">
        <v>24.5</v>
      </c>
      <c r="G9" s="56">
        <v>1940</v>
      </c>
      <c r="H9" s="54">
        <v>0</v>
      </c>
      <c r="I9" s="54">
        <v>1076</v>
      </c>
      <c r="J9" s="57"/>
      <c r="K9" s="54">
        <v>350</v>
      </c>
      <c r="L9" s="75">
        <v>1225</v>
      </c>
      <c r="M9" s="54"/>
      <c r="N9" s="58">
        <v>1141.048</v>
      </c>
      <c r="O9" s="54">
        <v>735</v>
      </c>
      <c r="P9" s="54">
        <v>100</v>
      </c>
      <c r="Q9" s="59">
        <v>710.81999999999982</v>
      </c>
      <c r="R9" s="54">
        <v>152</v>
      </c>
      <c r="S9" s="61">
        <v>17718.018</v>
      </c>
      <c r="T9" s="62"/>
      <c r="U9" s="63">
        <v>1698.3040000000001</v>
      </c>
      <c r="V9" s="53">
        <v>30</v>
      </c>
      <c r="W9" s="54">
        <v>455</v>
      </c>
      <c r="X9" s="54">
        <v>129.63</v>
      </c>
      <c r="Y9" s="64"/>
      <c r="Z9" s="64">
        <v>242.09850000000006</v>
      </c>
      <c r="AA9" s="65">
        <v>2555.0325000000003</v>
      </c>
      <c r="AB9" s="65">
        <v>15162.985499999999</v>
      </c>
      <c r="AC9" s="66"/>
      <c r="AD9" s="65">
        <v>15162.985499999999</v>
      </c>
      <c r="AE9" s="67">
        <v>9369.4</v>
      </c>
      <c r="AF9" s="73">
        <v>2369.3999999999996</v>
      </c>
      <c r="AG9" s="85">
        <v>710.81999999999982</v>
      </c>
      <c r="AH9" s="173">
        <v>15841.970000000001</v>
      </c>
      <c r="AI9" s="73">
        <v>4841.9700000000012</v>
      </c>
      <c r="AJ9" s="74">
        <v>242.09850000000006</v>
      </c>
      <c r="AK9" s="73"/>
      <c r="AL9" s="74"/>
      <c r="AM9" s="73"/>
    </row>
    <row r="10" spans="1:39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8299.36</v>
      </c>
      <c r="F10" s="55">
        <v>25.5</v>
      </c>
      <c r="G10" s="56">
        <v>250</v>
      </c>
      <c r="H10" s="54"/>
      <c r="I10" s="54">
        <v>1289</v>
      </c>
      <c r="J10" s="57"/>
      <c r="K10" s="54">
        <v>400</v>
      </c>
      <c r="L10" s="75">
        <v>430</v>
      </c>
      <c r="M10" s="54"/>
      <c r="N10" s="58">
        <v>1141.048</v>
      </c>
      <c r="O10" s="54">
        <v>765</v>
      </c>
      <c r="P10" s="54">
        <v>100</v>
      </c>
      <c r="Q10" s="59">
        <v>389.80800000000016</v>
      </c>
      <c r="R10" s="60">
        <v>18</v>
      </c>
      <c r="S10" s="61">
        <v>13613.466</v>
      </c>
      <c r="T10" s="62"/>
      <c r="U10" s="63">
        <v>1698.3040000000001</v>
      </c>
      <c r="V10" s="53">
        <v>30</v>
      </c>
      <c r="W10" s="54">
        <v>415</v>
      </c>
      <c r="X10" s="54">
        <v>151.255</v>
      </c>
      <c r="Y10" s="64"/>
      <c r="Z10" s="64"/>
      <c r="AA10" s="65">
        <v>2294.5590000000002</v>
      </c>
      <c r="AB10" s="65">
        <v>11318.906999999999</v>
      </c>
      <c r="AC10" s="66"/>
      <c r="AD10" s="65">
        <v>11318.906999999999</v>
      </c>
      <c r="AE10" s="67">
        <v>8299.36</v>
      </c>
      <c r="AF10" s="73">
        <v>1299.3600000000006</v>
      </c>
      <c r="AG10" s="85">
        <v>389.80800000000016</v>
      </c>
      <c r="AH10" s="173">
        <v>11707.418</v>
      </c>
      <c r="AI10" s="73">
        <v>-3692.5820000000003</v>
      </c>
      <c r="AJ10" s="74">
        <v>-184.62910000000002</v>
      </c>
      <c r="AK10" s="73"/>
      <c r="AL10" s="174" t="s">
        <v>110</v>
      </c>
      <c r="AM10" s="85">
        <v>15400</v>
      </c>
    </row>
    <row r="11" spans="1:39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5910.44</v>
      </c>
      <c r="F11" s="55">
        <v>21</v>
      </c>
      <c r="G11" s="56">
        <v>1325</v>
      </c>
      <c r="H11" s="54">
        <v>900</v>
      </c>
      <c r="I11" s="54">
        <v>664</v>
      </c>
      <c r="J11" s="57"/>
      <c r="K11" s="54">
        <v>450</v>
      </c>
      <c r="L11" s="75">
        <v>200</v>
      </c>
      <c r="M11" s="54"/>
      <c r="N11" s="58">
        <v>1141.048</v>
      </c>
      <c r="O11" s="54">
        <v>630</v>
      </c>
      <c r="P11" s="54"/>
      <c r="Q11" s="59"/>
      <c r="R11" s="60">
        <v>105</v>
      </c>
      <c r="S11" s="61">
        <v>11937.987999999999</v>
      </c>
      <c r="T11" s="62"/>
      <c r="U11" s="63">
        <v>1698.3040000000001</v>
      </c>
      <c r="V11" s="53">
        <v>30</v>
      </c>
      <c r="W11" s="54">
        <v>350</v>
      </c>
      <c r="X11" s="54"/>
      <c r="Y11" s="64"/>
      <c r="Z11" s="64"/>
      <c r="AA11" s="65">
        <v>2078.3040000000001</v>
      </c>
      <c r="AB11" s="65">
        <v>9859.6839999999993</v>
      </c>
      <c r="AC11" s="66"/>
      <c r="AD11" s="65">
        <v>9859.6839999999993</v>
      </c>
      <c r="AE11" s="67">
        <v>5910.44</v>
      </c>
      <c r="AF11" s="73">
        <v>-1089.5600000000004</v>
      </c>
      <c r="AG11" s="85">
        <v>-326.86800000000011</v>
      </c>
      <c r="AH11" s="173">
        <v>10166.939999999999</v>
      </c>
      <c r="AI11" s="73">
        <v>-833.06000000000131</v>
      </c>
      <c r="AJ11" s="74">
        <v>-41.65300000000007</v>
      </c>
      <c r="AK11" s="73"/>
      <c r="AL11" s="74"/>
      <c r="AM11" s="73"/>
    </row>
    <row r="12" spans="1:39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8807.56</v>
      </c>
      <c r="F12" s="55">
        <v>26.5</v>
      </c>
      <c r="G12" s="56">
        <v>2480</v>
      </c>
      <c r="H12" s="54">
        <v>5835</v>
      </c>
      <c r="I12" s="54">
        <v>559</v>
      </c>
      <c r="J12" s="57"/>
      <c r="K12" s="54">
        <v>400</v>
      </c>
      <c r="L12" s="75"/>
      <c r="M12" s="54"/>
      <c r="N12" s="58">
        <v>1141.048</v>
      </c>
      <c r="O12" s="54">
        <v>795</v>
      </c>
      <c r="P12" s="54"/>
      <c r="Q12" s="59">
        <v>542.2679999999998</v>
      </c>
      <c r="R12" s="60">
        <v>82</v>
      </c>
      <c r="S12" s="61">
        <v>21525.209333333332</v>
      </c>
      <c r="T12" s="62"/>
      <c r="U12" s="63">
        <v>1698.3040000000001</v>
      </c>
      <c r="V12" s="53">
        <v>30</v>
      </c>
      <c r="W12" s="54">
        <v>725</v>
      </c>
      <c r="X12" s="54"/>
      <c r="Y12" s="64"/>
      <c r="Z12" s="64">
        <v>608.91613333333339</v>
      </c>
      <c r="AA12" s="65">
        <v>3062.2201333333333</v>
      </c>
      <c r="AB12" s="65">
        <v>18462.9892</v>
      </c>
      <c r="AC12" s="66"/>
      <c r="AD12" s="65">
        <v>18462.9892</v>
      </c>
      <c r="AE12" s="67">
        <v>8807.56</v>
      </c>
      <c r="AF12" s="73">
        <v>1807.5599999999995</v>
      </c>
      <c r="AG12" s="85">
        <v>542.2679999999998</v>
      </c>
      <c r="AH12" s="173">
        <v>19589.161333333333</v>
      </c>
      <c r="AI12" s="73">
        <v>8589.1613333333335</v>
      </c>
      <c r="AJ12" s="175">
        <v>608.91613333333339</v>
      </c>
      <c r="AK12" s="73"/>
      <c r="AL12" s="74"/>
      <c r="AM12" s="73"/>
    </row>
    <row r="13" spans="1:39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7824.76</v>
      </c>
      <c r="F13" s="55">
        <v>23.5</v>
      </c>
      <c r="G13" s="56">
        <v>970</v>
      </c>
      <c r="H13" s="54">
        <v>1400</v>
      </c>
      <c r="I13" s="54">
        <v>966</v>
      </c>
      <c r="J13" s="57"/>
      <c r="K13" s="54">
        <v>500</v>
      </c>
      <c r="L13" s="75"/>
      <c r="M13" s="54"/>
      <c r="N13" s="58">
        <v>1141.048</v>
      </c>
      <c r="O13" s="54">
        <v>705</v>
      </c>
      <c r="P13" s="54">
        <v>100</v>
      </c>
      <c r="Q13" s="59">
        <v>247.42800000000005</v>
      </c>
      <c r="R13" s="60">
        <v>595</v>
      </c>
      <c r="S13" s="61">
        <v>15036.736000000001</v>
      </c>
      <c r="T13" s="62"/>
      <c r="U13" s="63">
        <v>1698.3040000000001</v>
      </c>
      <c r="V13" s="53">
        <v>30</v>
      </c>
      <c r="W13" s="54">
        <v>425</v>
      </c>
      <c r="X13" s="54">
        <v>130.91900000000001</v>
      </c>
      <c r="Y13" s="64"/>
      <c r="Z13" s="64">
        <v>109.53440000000001</v>
      </c>
      <c r="AA13" s="65">
        <v>2393.7574</v>
      </c>
      <c r="AB13" s="65">
        <v>12642.9786</v>
      </c>
      <c r="AC13" s="66"/>
      <c r="AD13" s="65">
        <v>12642.9786</v>
      </c>
      <c r="AE13" s="67">
        <v>7824.76</v>
      </c>
      <c r="AF13" s="73">
        <v>824.76000000000022</v>
      </c>
      <c r="AG13" s="85">
        <v>247.42800000000005</v>
      </c>
      <c r="AH13" s="173">
        <v>13190.688</v>
      </c>
      <c r="AI13" s="73">
        <v>2190.6880000000001</v>
      </c>
      <c r="AJ13" s="74">
        <v>109.53440000000001</v>
      </c>
      <c r="AK13" s="73"/>
      <c r="AL13" s="74"/>
      <c r="AM13" s="73"/>
    </row>
    <row r="14" spans="1:39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6255.96</v>
      </c>
      <c r="F14" s="55">
        <v>26</v>
      </c>
      <c r="G14" s="56">
        <v>1080</v>
      </c>
      <c r="H14" s="54">
        <v>2700</v>
      </c>
      <c r="I14" s="54">
        <v>652</v>
      </c>
      <c r="J14" s="57"/>
      <c r="K14" s="54">
        <v>500</v>
      </c>
      <c r="L14" s="75">
        <v>200</v>
      </c>
      <c r="M14" s="54"/>
      <c r="N14" s="58">
        <v>1141.048</v>
      </c>
      <c r="O14" s="54">
        <v>780</v>
      </c>
      <c r="P14" s="54"/>
      <c r="Q14" s="59"/>
      <c r="R14" s="60"/>
      <c r="S14" s="61">
        <v>13525.674666666666</v>
      </c>
      <c r="T14" s="62"/>
      <c r="U14" s="63">
        <v>1698.3040000000001</v>
      </c>
      <c r="V14" s="53">
        <v>30</v>
      </c>
      <c r="W14" s="54">
        <v>570</v>
      </c>
      <c r="X14" s="54"/>
      <c r="Y14" s="64"/>
      <c r="Z14" s="64">
        <v>30.231333333333261</v>
      </c>
      <c r="AA14" s="65">
        <v>2328.5353333333333</v>
      </c>
      <c r="AB14" s="65">
        <v>11197.139333333333</v>
      </c>
      <c r="AC14" s="66"/>
      <c r="AD14" s="65">
        <v>11197.139333333333</v>
      </c>
      <c r="AE14" s="67">
        <v>6255.96</v>
      </c>
      <c r="AF14" s="73">
        <v>-744.04</v>
      </c>
      <c r="AG14" s="85">
        <v>-223.21199999999999</v>
      </c>
      <c r="AH14" s="173">
        <v>11604.626666666665</v>
      </c>
      <c r="AI14" s="73">
        <v>604.62666666666519</v>
      </c>
      <c r="AJ14" s="74">
        <v>30.231333333333261</v>
      </c>
      <c r="AK14" s="73"/>
      <c r="AL14" s="74"/>
      <c r="AM14" s="73"/>
    </row>
    <row r="15" spans="1:39" ht="33" customHeight="1" x14ac:dyDescent="0.25">
      <c r="A15" s="26" t="s">
        <v>54</v>
      </c>
      <c r="B15" s="31"/>
      <c r="C15" s="87"/>
      <c r="D15" s="62"/>
      <c r="E15" s="88">
        <v>49744.06</v>
      </c>
      <c r="F15" s="89"/>
      <c r="G15" s="90">
        <v>8945</v>
      </c>
      <c r="H15" s="90">
        <v>21991</v>
      </c>
      <c r="I15" s="90">
        <v>5395</v>
      </c>
      <c r="J15" s="90">
        <v>0</v>
      </c>
      <c r="K15" s="90">
        <v>3050</v>
      </c>
      <c r="L15" s="90">
        <v>2855</v>
      </c>
      <c r="M15" s="90">
        <v>1500</v>
      </c>
      <c r="N15" s="90">
        <v>7987.3359999999993</v>
      </c>
      <c r="O15" s="90">
        <v>5265</v>
      </c>
      <c r="P15" s="90">
        <v>400</v>
      </c>
      <c r="Q15" s="90">
        <v>1890.3239999999998</v>
      </c>
      <c r="R15" s="90">
        <v>952</v>
      </c>
      <c r="S15" s="90">
        <v>114912.22</v>
      </c>
      <c r="T15" s="90">
        <v>0</v>
      </c>
      <c r="U15" s="90">
        <v>11888.128000000001</v>
      </c>
      <c r="V15" s="90">
        <v>210</v>
      </c>
      <c r="W15" s="90">
        <v>3760</v>
      </c>
      <c r="X15" s="90">
        <v>591.80399999999997</v>
      </c>
      <c r="Y15" s="90">
        <v>0</v>
      </c>
      <c r="Z15" s="90">
        <v>1198.734366666667</v>
      </c>
      <c r="AA15" s="90">
        <v>17648.666366666665</v>
      </c>
      <c r="AB15" s="90">
        <v>97263.553633333329</v>
      </c>
      <c r="AC15" s="90">
        <v>0</v>
      </c>
      <c r="AD15" s="90">
        <v>97263.553633333329</v>
      </c>
    </row>
    <row r="16" spans="1:39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36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/>
      <c r="AA17" s="96"/>
      <c r="AB17" s="96"/>
      <c r="AC17" s="93"/>
      <c r="AD17" s="96"/>
    </row>
    <row r="18" spans="1:36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36" x14ac:dyDescent="0.25">
      <c r="B19" s="1"/>
      <c r="D19" s="6"/>
      <c r="H19" s="67"/>
      <c r="O19" s="6"/>
      <c r="S19" s="100"/>
      <c r="T19" s="100"/>
      <c r="X19" s="101"/>
      <c r="AA19" s="6"/>
      <c r="AJ19" s="67"/>
    </row>
    <row r="20" spans="1:36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36" x14ac:dyDescent="0.25">
      <c r="B21" s="1"/>
      <c r="D21" s="6"/>
      <c r="O21" s="6"/>
      <c r="S21" s="104"/>
      <c r="T21" s="100"/>
      <c r="U21" s="103"/>
      <c r="AA21" s="6"/>
      <c r="AH21" s="67"/>
    </row>
    <row r="22" spans="1:36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H22" s="114"/>
    </row>
    <row r="23" spans="1:36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F23" s="67"/>
      <c r="AH23" s="67"/>
    </row>
    <row r="24" spans="1:36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H24" s="67"/>
    </row>
    <row r="25" spans="1:36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H25" s="67"/>
    </row>
    <row r="26" spans="1:36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F26" s="67"/>
      <c r="AH26" s="67"/>
    </row>
    <row r="27" spans="1:36" s="1" customFormat="1" x14ac:dyDescent="0.25">
      <c r="E27" s="73"/>
      <c r="F27" s="98"/>
      <c r="L27" s="32"/>
      <c r="AH27" s="67"/>
    </row>
    <row r="28" spans="1:36" x14ac:dyDescent="0.25">
      <c r="AH28" s="67"/>
    </row>
    <row r="29" spans="1:36" x14ac:dyDescent="0.25">
      <c r="W29" s="103"/>
      <c r="AH29" s="67"/>
    </row>
    <row r="30" spans="1:36" x14ac:dyDescent="0.25">
      <c r="W30" s="103"/>
      <c r="AH30" s="67"/>
    </row>
    <row r="31" spans="1:36" x14ac:dyDescent="0.25">
      <c r="A31" s="8"/>
      <c r="B31" s="8"/>
      <c r="O31" s="103"/>
      <c r="AH31" s="67"/>
    </row>
    <row r="32" spans="1:36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H32" s="67"/>
    </row>
    <row r="33" spans="1:37" x14ac:dyDescent="0.25">
      <c r="A33" s="8"/>
      <c r="B33" s="8"/>
      <c r="AH33" s="67"/>
    </row>
    <row r="34" spans="1:37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H34" s="67"/>
    </row>
    <row r="35" spans="1:37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H35" s="67"/>
    </row>
    <row r="36" spans="1:37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H36" s="67"/>
    </row>
    <row r="37" spans="1:37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H37" s="67"/>
    </row>
    <row r="38" spans="1:37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119"/>
      <c r="AG38" s="4"/>
      <c r="AH38" s="67"/>
      <c r="AI38" s="4"/>
      <c r="AJ38" s="4"/>
      <c r="AK38" s="4"/>
    </row>
    <row r="39" spans="1:37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4"/>
      <c r="AG39" s="4"/>
      <c r="AH39" s="67"/>
      <c r="AI39" s="4"/>
    </row>
    <row r="40" spans="1:37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4"/>
      <c r="AG40" s="4"/>
      <c r="AH40" s="67"/>
      <c r="AI40" s="4"/>
    </row>
    <row r="41" spans="1:37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4"/>
      <c r="AG41" s="4"/>
      <c r="AH41" s="67"/>
      <c r="AI41" s="4"/>
    </row>
    <row r="42" spans="1:37" x14ac:dyDescent="0.25">
      <c r="AH42" s="67"/>
    </row>
    <row r="43" spans="1:37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4"/>
      <c r="AG43" s="4"/>
      <c r="AH43" s="67"/>
      <c r="AI43" s="4"/>
    </row>
    <row r="44" spans="1:37" x14ac:dyDescent="0.25">
      <c r="AH44" s="67"/>
    </row>
    <row r="45" spans="1:37" x14ac:dyDescent="0.25">
      <c r="AH45" s="67"/>
    </row>
    <row r="46" spans="1:37" x14ac:dyDescent="0.25">
      <c r="AH46" s="67"/>
    </row>
    <row r="47" spans="1:37" x14ac:dyDescent="0.25">
      <c r="AH47" s="67"/>
    </row>
    <row r="48" spans="1:37" x14ac:dyDescent="0.25">
      <c r="AH48" s="67"/>
    </row>
    <row r="49" spans="2:34" x14ac:dyDescent="0.25">
      <c r="AH49" s="67"/>
    </row>
    <row r="50" spans="2:34" x14ac:dyDescent="0.25">
      <c r="AH50" s="67"/>
    </row>
    <row r="51" spans="2:34" x14ac:dyDescent="0.25">
      <c r="AH51" s="67"/>
    </row>
    <row r="52" spans="2:34" x14ac:dyDescent="0.25">
      <c r="AH52" s="67"/>
    </row>
    <row r="55" spans="2:34" x14ac:dyDescent="0.25">
      <c r="B55" s="103"/>
      <c r="E55" s="122"/>
      <c r="F55" s="122"/>
    </row>
    <row r="60" spans="2:34" x14ac:dyDescent="0.25">
      <c r="V60" s="123"/>
    </row>
    <row r="91" spans="1:35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F91" s="4"/>
      <c r="AG91" s="4"/>
      <c r="AH91" s="4"/>
      <c r="AI91" s="4"/>
    </row>
    <row r="92" spans="1:35" x14ac:dyDescent="0.25">
      <c r="B92" s="124"/>
    </row>
    <row r="95" spans="1:35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F95" s="4"/>
      <c r="AG95" s="4"/>
      <c r="AH95" s="4"/>
      <c r="AI95" s="4"/>
    </row>
    <row r="96" spans="1:35" x14ac:dyDescent="0.25">
      <c r="A96" s="51"/>
    </row>
  </sheetData>
  <mergeCells count="40">
    <mergeCell ref="A15:B15"/>
    <mergeCell ref="C18:E18"/>
    <mergeCell ref="N22:P22"/>
    <mergeCell ref="E55:F55"/>
    <mergeCell ref="AD5:AD7"/>
    <mergeCell ref="K6:K7"/>
    <mergeCell ref="L6:L7"/>
    <mergeCell ref="M6:M7"/>
    <mergeCell ref="N6:N7"/>
    <mergeCell ref="O6:O7"/>
    <mergeCell ref="P6:P7"/>
    <mergeCell ref="R6:R7"/>
    <mergeCell ref="U6:U7"/>
    <mergeCell ref="V6:V7"/>
    <mergeCell ref="S5:S7"/>
    <mergeCell ref="T5:T7"/>
    <mergeCell ref="U5:Z5"/>
    <mergeCell ref="AA5:AA7"/>
    <mergeCell ref="AB5:AB7"/>
    <mergeCell ref="AC5:AC7"/>
    <mergeCell ref="W6:W7"/>
    <mergeCell ref="X6:X7"/>
    <mergeCell ref="Y6:Y7"/>
    <mergeCell ref="Z6:Z7"/>
    <mergeCell ref="G5:G7"/>
    <mergeCell ref="H5:H7"/>
    <mergeCell ref="I5:I7"/>
    <mergeCell ref="J5:J7"/>
    <mergeCell ref="K5:P5"/>
    <mergeCell ref="Q5:Q7"/>
    <mergeCell ref="A2:E2"/>
    <mergeCell ref="T2:U2"/>
    <mergeCell ref="A3:AD3"/>
    <mergeCell ref="A4:AD4"/>
    <mergeCell ref="A5:A7"/>
    <mergeCell ref="B5:B7"/>
    <mergeCell ref="C5:C7"/>
    <mergeCell ref="D5:D7"/>
    <mergeCell ref="E5:E7"/>
    <mergeCell ref="F5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topLeftCell="A4" workbookViewId="0">
      <selection activeCell="W15" sqref="W15"/>
    </sheetView>
  </sheetViews>
  <sheetFormatPr defaultColWidth="13.28515625" defaultRowHeight="15" x14ac:dyDescent="0.25"/>
  <cols>
    <col min="1" max="1" width="13.28515625" customWidth="1"/>
    <col min="2" max="2" width="8.28515625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115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4500</v>
      </c>
      <c r="D8" s="143">
        <v>5550</v>
      </c>
      <c r="E8" s="143">
        <v>6500</v>
      </c>
      <c r="F8" s="143">
        <v>4100</v>
      </c>
      <c r="G8" s="143"/>
      <c r="H8" s="143">
        <v>3000</v>
      </c>
      <c r="I8" s="143">
        <v>8100</v>
      </c>
      <c r="J8" s="143"/>
      <c r="K8" s="143"/>
      <c r="L8" s="143"/>
      <c r="M8" s="143"/>
      <c r="N8" s="143">
        <v>2800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9</v>
      </c>
      <c r="D9" s="146">
        <v>8.6</v>
      </c>
      <c r="E9" s="146">
        <v>13</v>
      </c>
      <c r="F9" s="146">
        <v>8</v>
      </c>
      <c r="G9" s="146"/>
      <c r="H9" s="146">
        <v>6</v>
      </c>
      <c r="I9" s="146">
        <v>14.6</v>
      </c>
      <c r="J9" s="146"/>
      <c r="K9" s="148"/>
      <c r="L9" s="146"/>
      <c r="M9" s="146"/>
      <c r="N9" s="146">
        <v>5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13793</v>
      </c>
      <c r="D10" s="152">
        <v>1499</v>
      </c>
      <c r="E10" s="152">
        <v>13160</v>
      </c>
      <c r="F10" s="152">
        <v>14578</v>
      </c>
      <c r="G10" s="154"/>
      <c r="H10" s="154">
        <f>18643-180</f>
        <v>18463</v>
      </c>
      <c r="I10" s="154">
        <f>10068-460</f>
        <v>9608</v>
      </c>
      <c r="J10" s="152"/>
      <c r="K10" s="152"/>
      <c r="L10" s="152"/>
      <c r="M10" s="152"/>
      <c r="N10" s="152">
        <v>11787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>
        <v>180</v>
      </c>
      <c r="I11" s="158">
        <v>460</v>
      </c>
      <c r="J11" s="156"/>
      <c r="K11" s="156"/>
      <c r="L11" s="156"/>
      <c r="M11" s="156"/>
      <c r="N11" s="156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19714</v>
      </c>
      <c r="D12" s="141">
        <v>3295</v>
      </c>
      <c r="E12" s="141">
        <v>27730</v>
      </c>
      <c r="F12" s="141">
        <v>7590</v>
      </c>
      <c r="G12" s="160"/>
      <c r="H12" s="160">
        <v>11560</v>
      </c>
      <c r="I12" s="160">
        <v>13120</v>
      </c>
      <c r="J12" s="143"/>
      <c r="K12" s="141"/>
      <c r="L12" s="141"/>
      <c r="M12" s="141"/>
      <c r="N12" s="141">
        <v>9534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2530</v>
      </c>
      <c r="D13" s="141">
        <v>720</v>
      </c>
      <c r="E13" s="141">
        <v>4610</v>
      </c>
      <c r="F13" s="141">
        <v>850</v>
      </c>
      <c r="G13" s="160"/>
      <c r="H13" s="160">
        <v>2210</v>
      </c>
      <c r="I13" s="160">
        <v>1650</v>
      </c>
      <c r="J13" s="143"/>
      <c r="K13" s="143"/>
      <c r="L13" s="141"/>
      <c r="M13" s="141"/>
      <c r="N13" s="141">
        <v>2610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/>
      <c r="D14" s="141">
        <v>1500</v>
      </c>
      <c r="E14" s="141"/>
      <c r="F14" s="141"/>
      <c r="G14" s="160"/>
      <c r="H14" s="160"/>
      <c r="I14" s="160">
        <v>3000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>
        <f>1250+1850</f>
        <v>3100</v>
      </c>
      <c r="E16" s="141"/>
      <c r="F16" s="143"/>
      <c r="G16" s="160"/>
      <c r="H16" s="161"/>
      <c r="I16" s="160">
        <f>1250+1850+1600</f>
        <v>4700</v>
      </c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40537</v>
      </c>
      <c r="D18" s="164">
        <f>SUM(D10:D17)+D8</f>
        <v>15664</v>
      </c>
      <c r="E18" s="164">
        <f>SUM(E10:E17)+E8</f>
        <v>52000</v>
      </c>
      <c r="F18" s="164">
        <f>SUM(F10:F17)+F8</f>
        <v>27118</v>
      </c>
      <c r="G18" s="164">
        <f t="shared" ref="G18:N18" si="0">SUM(G10:G17)+G8</f>
        <v>0</v>
      </c>
      <c r="H18" s="164">
        <f t="shared" si="0"/>
        <v>35413</v>
      </c>
      <c r="I18" s="164">
        <f>SUM(I10:I17)+I8</f>
        <v>40638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26731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630</v>
      </c>
      <c r="D19" s="165">
        <f t="shared" ref="D19:N19" si="1">D9*70</f>
        <v>602</v>
      </c>
      <c r="E19" s="165">
        <f t="shared" si="1"/>
        <v>910</v>
      </c>
      <c r="F19" s="165">
        <f t="shared" si="1"/>
        <v>560</v>
      </c>
      <c r="G19" s="165">
        <f t="shared" si="1"/>
        <v>0</v>
      </c>
      <c r="H19" s="165">
        <f t="shared" si="1"/>
        <v>420</v>
      </c>
      <c r="I19" s="165">
        <f t="shared" si="1"/>
        <v>1022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350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4413.76</v>
      </c>
      <c r="D20" s="165">
        <f t="shared" si="2"/>
        <v>479.68</v>
      </c>
      <c r="E20" s="165">
        <f t="shared" si="2"/>
        <v>4211.2</v>
      </c>
      <c r="F20" s="165">
        <f t="shared" si="2"/>
        <v>4664.96</v>
      </c>
      <c r="G20" s="165">
        <f t="shared" si="2"/>
        <v>0</v>
      </c>
      <c r="H20" s="165">
        <f t="shared" si="2"/>
        <v>5908.16</v>
      </c>
      <c r="I20" s="165">
        <f t="shared" si="2"/>
        <v>3074.56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3771.84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>C11*0.6</f>
        <v>0</v>
      </c>
      <c r="D21" s="165">
        <f t="shared" ref="D21:N21" si="3">D11*0.6</f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108</v>
      </c>
      <c r="I21" s="165">
        <f t="shared" si="3"/>
        <v>276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0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1971.4</v>
      </c>
      <c r="D22" s="165">
        <f t="shared" si="4"/>
        <v>329.5</v>
      </c>
      <c r="E22" s="165">
        <f t="shared" si="4"/>
        <v>2773</v>
      </c>
      <c r="F22" s="165">
        <f t="shared" si="4"/>
        <v>759</v>
      </c>
      <c r="G22" s="165">
        <f t="shared" si="4"/>
        <v>0</v>
      </c>
      <c r="H22" s="165">
        <f t="shared" si="4"/>
        <v>1156</v>
      </c>
      <c r="I22" s="165">
        <f t="shared" si="4"/>
        <v>1312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953.40000000000009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809.6</v>
      </c>
      <c r="D23" s="165">
        <f t="shared" si="5"/>
        <v>230.4</v>
      </c>
      <c r="E23" s="165">
        <f t="shared" si="5"/>
        <v>1475.2</v>
      </c>
      <c r="F23" s="165">
        <f t="shared" si="5"/>
        <v>272</v>
      </c>
      <c r="G23" s="165">
        <f t="shared" si="5"/>
        <v>0</v>
      </c>
      <c r="H23" s="165">
        <f t="shared" si="5"/>
        <v>707.2</v>
      </c>
      <c r="I23" s="165">
        <f t="shared" si="5"/>
        <v>528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835.2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0</v>
      </c>
      <c r="D24" s="165">
        <f t="shared" si="6"/>
        <v>240</v>
      </c>
      <c r="E24" s="165">
        <f t="shared" si="6"/>
        <v>0</v>
      </c>
      <c r="F24" s="165">
        <f t="shared" si="6"/>
        <v>0</v>
      </c>
      <c r="G24" s="165">
        <f t="shared" si="6"/>
        <v>0</v>
      </c>
      <c r="H24" s="165">
        <f t="shared" si="6"/>
        <v>0</v>
      </c>
      <c r="I24" s="165">
        <f t="shared" si="6"/>
        <v>480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1395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2115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7824.76</v>
      </c>
      <c r="D28" s="168">
        <f t="shared" si="9"/>
        <v>3276.58</v>
      </c>
      <c r="E28" s="168">
        <f t="shared" si="9"/>
        <v>9369.4</v>
      </c>
      <c r="F28" s="168">
        <f t="shared" si="9"/>
        <v>6255.96</v>
      </c>
      <c r="G28" s="168">
        <f t="shared" si="9"/>
        <v>0</v>
      </c>
      <c r="H28" s="168">
        <f t="shared" si="9"/>
        <v>8299.36</v>
      </c>
      <c r="I28" s="168">
        <f t="shared" si="9"/>
        <v>8807.56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5910.44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49744.06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6"/>
  <sheetViews>
    <sheetView workbookViewId="0">
      <selection activeCell="E12" sqref="E12"/>
    </sheetView>
  </sheetViews>
  <sheetFormatPr defaultRowHeight="15" x14ac:dyDescent="0.25"/>
  <cols>
    <col min="1" max="1" width="5.5703125" style="6" customWidth="1"/>
    <col min="2" max="2" width="22.28515625" style="4" customWidth="1"/>
    <col min="3" max="3" width="5.7109375" style="6" customWidth="1"/>
    <col min="4" max="4" width="6.7109375" style="4" customWidth="1"/>
    <col min="5" max="5" width="9.28515625" style="8" customWidth="1"/>
    <col min="6" max="6" width="8.7109375" style="11" customWidth="1"/>
    <col min="7" max="7" width="8.85546875" style="4" customWidth="1"/>
    <col min="8" max="8" width="8.140625" style="4" customWidth="1"/>
    <col min="9" max="9" width="7.5703125" style="5" customWidth="1"/>
    <col min="10" max="10" width="5.28515625" style="4" customWidth="1"/>
    <col min="11" max="11" width="8" style="4" customWidth="1"/>
    <col min="12" max="12" width="6.7109375" style="6" customWidth="1"/>
    <col min="13" max="13" width="6.85546875" style="4" customWidth="1"/>
    <col min="14" max="14" width="8.7109375" style="4" customWidth="1"/>
    <col min="15" max="15" width="8" style="4" customWidth="1"/>
    <col min="16" max="16" width="6.7109375" style="4" customWidth="1"/>
    <col min="17" max="17" width="7.7109375" style="4" customWidth="1"/>
    <col min="18" max="18" width="7.28515625" style="4" customWidth="1"/>
    <col min="19" max="19" width="10.7109375" style="7" customWidth="1"/>
    <col min="20" max="20" width="6.85546875" style="7" customWidth="1"/>
    <col min="21" max="21" width="7.7109375" style="4" customWidth="1"/>
    <col min="22" max="22" width="6.5703125" style="4" customWidth="1"/>
    <col min="23" max="23" width="8" style="4" customWidth="1"/>
    <col min="24" max="24" width="8.140625" style="4" customWidth="1"/>
    <col min="25" max="25" width="5.140625" style="8" customWidth="1"/>
    <col min="26" max="26" width="6.85546875" style="8" customWidth="1"/>
    <col min="27" max="28" width="9.42578125" style="1" customWidth="1"/>
    <col min="29" max="29" width="7.85546875" style="1" hidden="1" customWidth="1"/>
    <col min="30" max="30" width="10.5703125" style="4" customWidth="1"/>
    <col min="31" max="33" width="9.140625" style="4"/>
    <col min="34" max="34" width="10.7109375" style="4" customWidth="1"/>
    <col min="35" max="35" width="9.42578125" style="4" bestFit="1" customWidth="1"/>
    <col min="36" max="256" width="9.140625" style="4"/>
    <col min="257" max="257" width="5.5703125" style="4" customWidth="1"/>
    <col min="258" max="258" width="22.28515625" style="4" customWidth="1"/>
    <col min="259" max="259" width="5.7109375" style="4" customWidth="1"/>
    <col min="260" max="260" width="6.7109375" style="4" customWidth="1"/>
    <col min="261" max="261" width="9.28515625" style="4" customWidth="1"/>
    <col min="262" max="262" width="8.7109375" style="4" customWidth="1"/>
    <col min="263" max="263" width="8.85546875" style="4" customWidth="1"/>
    <col min="264" max="264" width="8.140625" style="4" customWidth="1"/>
    <col min="265" max="265" width="7.5703125" style="4" customWidth="1"/>
    <col min="266" max="266" width="5.28515625" style="4" customWidth="1"/>
    <col min="267" max="267" width="8" style="4" customWidth="1"/>
    <col min="268" max="268" width="6.7109375" style="4" customWidth="1"/>
    <col min="269" max="269" width="6.85546875" style="4" customWidth="1"/>
    <col min="270" max="270" width="8.7109375" style="4" customWidth="1"/>
    <col min="271" max="271" width="8" style="4" customWidth="1"/>
    <col min="272" max="272" width="6.7109375" style="4" customWidth="1"/>
    <col min="273" max="273" width="7.7109375" style="4" customWidth="1"/>
    <col min="274" max="274" width="7.28515625" style="4" customWidth="1"/>
    <col min="275" max="275" width="10.7109375" style="4" customWidth="1"/>
    <col min="276" max="276" width="6.85546875" style="4" customWidth="1"/>
    <col min="277" max="277" width="7.7109375" style="4" customWidth="1"/>
    <col min="278" max="278" width="6.5703125" style="4" customWidth="1"/>
    <col min="279" max="279" width="8" style="4" customWidth="1"/>
    <col min="280" max="280" width="8.140625" style="4" customWidth="1"/>
    <col min="281" max="281" width="5.140625" style="4" customWidth="1"/>
    <col min="282" max="282" width="6.85546875" style="4" customWidth="1"/>
    <col min="283" max="284" width="9.42578125" style="4" customWidth="1"/>
    <col min="285" max="285" width="0" style="4" hidden="1" customWidth="1"/>
    <col min="286" max="286" width="10.5703125" style="4" customWidth="1"/>
    <col min="287" max="289" width="9.140625" style="4"/>
    <col min="290" max="290" width="10.7109375" style="4" customWidth="1"/>
    <col min="291" max="291" width="9.42578125" style="4" bestFit="1" customWidth="1"/>
    <col min="292" max="512" width="9.140625" style="4"/>
    <col min="513" max="513" width="5.5703125" style="4" customWidth="1"/>
    <col min="514" max="514" width="22.28515625" style="4" customWidth="1"/>
    <col min="515" max="515" width="5.7109375" style="4" customWidth="1"/>
    <col min="516" max="516" width="6.7109375" style="4" customWidth="1"/>
    <col min="517" max="517" width="9.28515625" style="4" customWidth="1"/>
    <col min="518" max="518" width="8.7109375" style="4" customWidth="1"/>
    <col min="519" max="519" width="8.85546875" style="4" customWidth="1"/>
    <col min="520" max="520" width="8.140625" style="4" customWidth="1"/>
    <col min="521" max="521" width="7.5703125" style="4" customWidth="1"/>
    <col min="522" max="522" width="5.28515625" style="4" customWidth="1"/>
    <col min="523" max="523" width="8" style="4" customWidth="1"/>
    <col min="524" max="524" width="6.7109375" style="4" customWidth="1"/>
    <col min="525" max="525" width="6.85546875" style="4" customWidth="1"/>
    <col min="526" max="526" width="8.7109375" style="4" customWidth="1"/>
    <col min="527" max="527" width="8" style="4" customWidth="1"/>
    <col min="528" max="528" width="6.7109375" style="4" customWidth="1"/>
    <col min="529" max="529" width="7.7109375" style="4" customWidth="1"/>
    <col min="530" max="530" width="7.28515625" style="4" customWidth="1"/>
    <col min="531" max="531" width="10.7109375" style="4" customWidth="1"/>
    <col min="532" max="532" width="6.85546875" style="4" customWidth="1"/>
    <col min="533" max="533" width="7.7109375" style="4" customWidth="1"/>
    <col min="534" max="534" width="6.5703125" style="4" customWidth="1"/>
    <col min="535" max="535" width="8" style="4" customWidth="1"/>
    <col min="536" max="536" width="8.140625" style="4" customWidth="1"/>
    <col min="537" max="537" width="5.140625" style="4" customWidth="1"/>
    <col min="538" max="538" width="6.85546875" style="4" customWidth="1"/>
    <col min="539" max="540" width="9.42578125" style="4" customWidth="1"/>
    <col min="541" max="541" width="0" style="4" hidden="1" customWidth="1"/>
    <col min="542" max="542" width="10.5703125" style="4" customWidth="1"/>
    <col min="543" max="545" width="9.140625" style="4"/>
    <col min="546" max="546" width="10.7109375" style="4" customWidth="1"/>
    <col min="547" max="547" width="9.42578125" style="4" bestFit="1" customWidth="1"/>
    <col min="548" max="768" width="9.140625" style="4"/>
    <col min="769" max="769" width="5.5703125" style="4" customWidth="1"/>
    <col min="770" max="770" width="22.28515625" style="4" customWidth="1"/>
    <col min="771" max="771" width="5.7109375" style="4" customWidth="1"/>
    <col min="772" max="772" width="6.7109375" style="4" customWidth="1"/>
    <col min="773" max="773" width="9.28515625" style="4" customWidth="1"/>
    <col min="774" max="774" width="8.7109375" style="4" customWidth="1"/>
    <col min="775" max="775" width="8.85546875" style="4" customWidth="1"/>
    <col min="776" max="776" width="8.140625" style="4" customWidth="1"/>
    <col min="777" max="777" width="7.5703125" style="4" customWidth="1"/>
    <col min="778" max="778" width="5.28515625" style="4" customWidth="1"/>
    <col min="779" max="779" width="8" style="4" customWidth="1"/>
    <col min="780" max="780" width="6.7109375" style="4" customWidth="1"/>
    <col min="781" max="781" width="6.85546875" style="4" customWidth="1"/>
    <col min="782" max="782" width="8.7109375" style="4" customWidth="1"/>
    <col min="783" max="783" width="8" style="4" customWidth="1"/>
    <col min="784" max="784" width="6.7109375" style="4" customWidth="1"/>
    <col min="785" max="785" width="7.7109375" style="4" customWidth="1"/>
    <col min="786" max="786" width="7.28515625" style="4" customWidth="1"/>
    <col min="787" max="787" width="10.7109375" style="4" customWidth="1"/>
    <col min="788" max="788" width="6.85546875" style="4" customWidth="1"/>
    <col min="789" max="789" width="7.7109375" style="4" customWidth="1"/>
    <col min="790" max="790" width="6.5703125" style="4" customWidth="1"/>
    <col min="791" max="791" width="8" style="4" customWidth="1"/>
    <col min="792" max="792" width="8.140625" style="4" customWidth="1"/>
    <col min="793" max="793" width="5.140625" style="4" customWidth="1"/>
    <col min="794" max="794" width="6.85546875" style="4" customWidth="1"/>
    <col min="795" max="796" width="9.42578125" style="4" customWidth="1"/>
    <col min="797" max="797" width="0" style="4" hidden="1" customWidth="1"/>
    <col min="798" max="798" width="10.5703125" style="4" customWidth="1"/>
    <col min="799" max="801" width="9.140625" style="4"/>
    <col min="802" max="802" width="10.7109375" style="4" customWidth="1"/>
    <col min="803" max="803" width="9.42578125" style="4" bestFit="1" customWidth="1"/>
    <col min="804" max="1024" width="9.140625" style="4"/>
    <col min="1025" max="1025" width="5.5703125" style="4" customWidth="1"/>
    <col min="1026" max="1026" width="22.28515625" style="4" customWidth="1"/>
    <col min="1027" max="1027" width="5.7109375" style="4" customWidth="1"/>
    <col min="1028" max="1028" width="6.7109375" style="4" customWidth="1"/>
    <col min="1029" max="1029" width="9.28515625" style="4" customWidth="1"/>
    <col min="1030" max="1030" width="8.7109375" style="4" customWidth="1"/>
    <col min="1031" max="1031" width="8.85546875" style="4" customWidth="1"/>
    <col min="1032" max="1032" width="8.140625" style="4" customWidth="1"/>
    <col min="1033" max="1033" width="7.5703125" style="4" customWidth="1"/>
    <col min="1034" max="1034" width="5.28515625" style="4" customWidth="1"/>
    <col min="1035" max="1035" width="8" style="4" customWidth="1"/>
    <col min="1036" max="1036" width="6.7109375" style="4" customWidth="1"/>
    <col min="1037" max="1037" width="6.85546875" style="4" customWidth="1"/>
    <col min="1038" max="1038" width="8.7109375" style="4" customWidth="1"/>
    <col min="1039" max="1039" width="8" style="4" customWidth="1"/>
    <col min="1040" max="1040" width="6.7109375" style="4" customWidth="1"/>
    <col min="1041" max="1041" width="7.7109375" style="4" customWidth="1"/>
    <col min="1042" max="1042" width="7.28515625" style="4" customWidth="1"/>
    <col min="1043" max="1043" width="10.7109375" style="4" customWidth="1"/>
    <col min="1044" max="1044" width="6.85546875" style="4" customWidth="1"/>
    <col min="1045" max="1045" width="7.7109375" style="4" customWidth="1"/>
    <col min="1046" max="1046" width="6.5703125" style="4" customWidth="1"/>
    <col min="1047" max="1047" width="8" style="4" customWidth="1"/>
    <col min="1048" max="1048" width="8.140625" style="4" customWidth="1"/>
    <col min="1049" max="1049" width="5.140625" style="4" customWidth="1"/>
    <col min="1050" max="1050" width="6.85546875" style="4" customWidth="1"/>
    <col min="1051" max="1052" width="9.42578125" style="4" customWidth="1"/>
    <col min="1053" max="1053" width="0" style="4" hidden="1" customWidth="1"/>
    <col min="1054" max="1054" width="10.5703125" style="4" customWidth="1"/>
    <col min="1055" max="1057" width="9.140625" style="4"/>
    <col min="1058" max="1058" width="10.7109375" style="4" customWidth="1"/>
    <col min="1059" max="1059" width="9.42578125" style="4" bestFit="1" customWidth="1"/>
    <col min="1060" max="1280" width="9.140625" style="4"/>
    <col min="1281" max="1281" width="5.5703125" style="4" customWidth="1"/>
    <col min="1282" max="1282" width="22.28515625" style="4" customWidth="1"/>
    <col min="1283" max="1283" width="5.7109375" style="4" customWidth="1"/>
    <col min="1284" max="1284" width="6.7109375" style="4" customWidth="1"/>
    <col min="1285" max="1285" width="9.28515625" style="4" customWidth="1"/>
    <col min="1286" max="1286" width="8.7109375" style="4" customWidth="1"/>
    <col min="1287" max="1287" width="8.85546875" style="4" customWidth="1"/>
    <col min="1288" max="1288" width="8.140625" style="4" customWidth="1"/>
    <col min="1289" max="1289" width="7.5703125" style="4" customWidth="1"/>
    <col min="1290" max="1290" width="5.28515625" style="4" customWidth="1"/>
    <col min="1291" max="1291" width="8" style="4" customWidth="1"/>
    <col min="1292" max="1292" width="6.7109375" style="4" customWidth="1"/>
    <col min="1293" max="1293" width="6.85546875" style="4" customWidth="1"/>
    <col min="1294" max="1294" width="8.7109375" style="4" customWidth="1"/>
    <col min="1295" max="1295" width="8" style="4" customWidth="1"/>
    <col min="1296" max="1296" width="6.7109375" style="4" customWidth="1"/>
    <col min="1297" max="1297" width="7.7109375" style="4" customWidth="1"/>
    <col min="1298" max="1298" width="7.28515625" style="4" customWidth="1"/>
    <col min="1299" max="1299" width="10.7109375" style="4" customWidth="1"/>
    <col min="1300" max="1300" width="6.85546875" style="4" customWidth="1"/>
    <col min="1301" max="1301" width="7.7109375" style="4" customWidth="1"/>
    <col min="1302" max="1302" width="6.5703125" style="4" customWidth="1"/>
    <col min="1303" max="1303" width="8" style="4" customWidth="1"/>
    <col min="1304" max="1304" width="8.140625" style="4" customWidth="1"/>
    <col min="1305" max="1305" width="5.140625" style="4" customWidth="1"/>
    <col min="1306" max="1306" width="6.85546875" style="4" customWidth="1"/>
    <col min="1307" max="1308" width="9.42578125" style="4" customWidth="1"/>
    <col min="1309" max="1309" width="0" style="4" hidden="1" customWidth="1"/>
    <col min="1310" max="1310" width="10.5703125" style="4" customWidth="1"/>
    <col min="1311" max="1313" width="9.140625" style="4"/>
    <col min="1314" max="1314" width="10.7109375" style="4" customWidth="1"/>
    <col min="1315" max="1315" width="9.42578125" style="4" bestFit="1" customWidth="1"/>
    <col min="1316" max="1536" width="9.140625" style="4"/>
    <col min="1537" max="1537" width="5.5703125" style="4" customWidth="1"/>
    <col min="1538" max="1538" width="22.28515625" style="4" customWidth="1"/>
    <col min="1539" max="1539" width="5.7109375" style="4" customWidth="1"/>
    <col min="1540" max="1540" width="6.7109375" style="4" customWidth="1"/>
    <col min="1541" max="1541" width="9.28515625" style="4" customWidth="1"/>
    <col min="1542" max="1542" width="8.7109375" style="4" customWidth="1"/>
    <col min="1543" max="1543" width="8.85546875" style="4" customWidth="1"/>
    <col min="1544" max="1544" width="8.140625" style="4" customWidth="1"/>
    <col min="1545" max="1545" width="7.5703125" style="4" customWidth="1"/>
    <col min="1546" max="1546" width="5.28515625" style="4" customWidth="1"/>
    <col min="1547" max="1547" width="8" style="4" customWidth="1"/>
    <col min="1548" max="1548" width="6.7109375" style="4" customWidth="1"/>
    <col min="1549" max="1549" width="6.85546875" style="4" customWidth="1"/>
    <col min="1550" max="1550" width="8.7109375" style="4" customWidth="1"/>
    <col min="1551" max="1551" width="8" style="4" customWidth="1"/>
    <col min="1552" max="1552" width="6.7109375" style="4" customWidth="1"/>
    <col min="1553" max="1553" width="7.7109375" style="4" customWidth="1"/>
    <col min="1554" max="1554" width="7.28515625" style="4" customWidth="1"/>
    <col min="1555" max="1555" width="10.7109375" style="4" customWidth="1"/>
    <col min="1556" max="1556" width="6.85546875" style="4" customWidth="1"/>
    <col min="1557" max="1557" width="7.7109375" style="4" customWidth="1"/>
    <col min="1558" max="1558" width="6.5703125" style="4" customWidth="1"/>
    <col min="1559" max="1559" width="8" style="4" customWidth="1"/>
    <col min="1560" max="1560" width="8.140625" style="4" customWidth="1"/>
    <col min="1561" max="1561" width="5.140625" style="4" customWidth="1"/>
    <col min="1562" max="1562" width="6.85546875" style="4" customWidth="1"/>
    <col min="1563" max="1564" width="9.42578125" style="4" customWidth="1"/>
    <col min="1565" max="1565" width="0" style="4" hidden="1" customWidth="1"/>
    <col min="1566" max="1566" width="10.5703125" style="4" customWidth="1"/>
    <col min="1567" max="1569" width="9.140625" style="4"/>
    <col min="1570" max="1570" width="10.7109375" style="4" customWidth="1"/>
    <col min="1571" max="1571" width="9.42578125" style="4" bestFit="1" customWidth="1"/>
    <col min="1572" max="1792" width="9.140625" style="4"/>
    <col min="1793" max="1793" width="5.5703125" style="4" customWidth="1"/>
    <col min="1794" max="1794" width="22.28515625" style="4" customWidth="1"/>
    <col min="1795" max="1795" width="5.7109375" style="4" customWidth="1"/>
    <col min="1796" max="1796" width="6.7109375" style="4" customWidth="1"/>
    <col min="1797" max="1797" width="9.28515625" style="4" customWidth="1"/>
    <col min="1798" max="1798" width="8.7109375" style="4" customWidth="1"/>
    <col min="1799" max="1799" width="8.85546875" style="4" customWidth="1"/>
    <col min="1800" max="1800" width="8.140625" style="4" customWidth="1"/>
    <col min="1801" max="1801" width="7.5703125" style="4" customWidth="1"/>
    <col min="1802" max="1802" width="5.28515625" style="4" customWidth="1"/>
    <col min="1803" max="1803" width="8" style="4" customWidth="1"/>
    <col min="1804" max="1804" width="6.7109375" style="4" customWidth="1"/>
    <col min="1805" max="1805" width="6.85546875" style="4" customWidth="1"/>
    <col min="1806" max="1806" width="8.7109375" style="4" customWidth="1"/>
    <col min="1807" max="1807" width="8" style="4" customWidth="1"/>
    <col min="1808" max="1808" width="6.7109375" style="4" customWidth="1"/>
    <col min="1809" max="1809" width="7.7109375" style="4" customWidth="1"/>
    <col min="1810" max="1810" width="7.28515625" style="4" customWidth="1"/>
    <col min="1811" max="1811" width="10.7109375" style="4" customWidth="1"/>
    <col min="1812" max="1812" width="6.85546875" style="4" customWidth="1"/>
    <col min="1813" max="1813" width="7.7109375" style="4" customWidth="1"/>
    <col min="1814" max="1814" width="6.5703125" style="4" customWidth="1"/>
    <col min="1815" max="1815" width="8" style="4" customWidth="1"/>
    <col min="1816" max="1816" width="8.140625" style="4" customWidth="1"/>
    <col min="1817" max="1817" width="5.140625" style="4" customWidth="1"/>
    <col min="1818" max="1818" width="6.85546875" style="4" customWidth="1"/>
    <col min="1819" max="1820" width="9.42578125" style="4" customWidth="1"/>
    <col min="1821" max="1821" width="0" style="4" hidden="1" customWidth="1"/>
    <col min="1822" max="1822" width="10.5703125" style="4" customWidth="1"/>
    <col min="1823" max="1825" width="9.140625" style="4"/>
    <col min="1826" max="1826" width="10.7109375" style="4" customWidth="1"/>
    <col min="1827" max="1827" width="9.42578125" style="4" bestFit="1" customWidth="1"/>
    <col min="1828" max="2048" width="9.140625" style="4"/>
    <col min="2049" max="2049" width="5.5703125" style="4" customWidth="1"/>
    <col min="2050" max="2050" width="22.28515625" style="4" customWidth="1"/>
    <col min="2051" max="2051" width="5.7109375" style="4" customWidth="1"/>
    <col min="2052" max="2052" width="6.7109375" style="4" customWidth="1"/>
    <col min="2053" max="2053" width="9.28515625" style="4" customWidth="1"/>
    <col min="2054" max="2054" width="8.7109375" style="4" customWidth="1"/>
    <col min="2055" max="2055" width="8.85546875" style="4" customWidth="1"/>
    <col min="2056" max="2056" width="8.140625" style="4" customWidth="1"/>
    <col min="2057" max="2057" width="7.5703125" style="4" customWidth="1"/>
    <col min="2058" max="2058" width="5.28515625" style="4" customWidth="1"/>
    <col min="2059" max="2059" width="8" style="4" customWidth="1"/>
    <col min="2060" max="2060" width="6.7109375" style="4" customWidth="1"/>
    <col min="2061" max="2061" width="6.85546875" style="4" customWidth="1"/>
    <col min="2062" max="2062" width="8.7109375" style="4" customWidth="1"/>
    <col min="2063" max="2063" width="8" style="4" customWidth="1"/>
    <col min="2064" max="2064" width="6.7109375" style="4" customWidth="1"/>
    <col min="2065" max="2065" width="7.7109375" style="4" customWidth="1"/>
    <col min="2066" max="2066" width="7.28515625" style="4" customWidth="1"/>
    <col min="2067" max="2067" width="10.7109375" style="4" customWidth="1"/>
    <col min="2068" max="2068" width="6.85546875" style="4" customWidth="1"/>
    <col min="2069" max="2069" width="7.7109375" style="4" customWidth="1"/>
    <col min="2070" max="2070" width="6.5703125" style="4" customWidth="1"/>
    <col min="2071" max="2071" width="8" style="4" customWidth="1"/>
    <col min="2072" max="2072" width="8.140625" style="4" customWidth="1"/>
    <col min="2073" max="2073" width="5.140625" style="4" customWidth="1"/>
    <col min="2074" max="2074" width="6.85546875" style="4" customWidth="1"/>
    <col min="2075" max="2076" width="9.42578125" style="4" customWidth="1"/>
    <col min="2077" max="2077" width="0" style="4" hidden="1" customWidth="1"/>
    <col min="2078" max="2078" width="10.5703125" style="4" customWidth="1"/>
    <col min="2079" max="2081" width="9.140625" style="4"/>
    <col min="2082" max="2082" width="10.7109375" style="4" customWidth="1"/>
    <col min="2083" max="2083" width="9.42578125" style="4" bestFit="1" customWidth="1"/>
    <col min="2084" max="2304" width="9.140625" style="4"/>
    <col min="2305" max="2305" width="5.5703125" style="4" customWidth="1"/>
    <col min="2306" max="2306" width="22.28515625" style="4" customWidth="1"/>
    <col min="2307" max="2307" width="5.7109375" style="4" customWidth="1"/>
    <col min="2308" max="2308" width="6.7109375" style="4" customWidth="1"/>
    <col min="2309" max="2309" width="9.28515625" style="4" customWidth="1"/>
    <col min="2310" max="2310" width="8.7109375" style="4" customWidth="1"/>
    <col min="2311" max="2311" width="8.85546875" style="4" customWidth="1"/>
    <col min="2312" max="2312" width="8.140625" style="4" customWidth="1"/>
    <col min="2313" max="2313" width="7.5703125" style="4" customWidth="1"/>
    <col min="2314" max="2314" width="5.28515625" style="4" customWidth="1"/>
    <col min="2315" max="2315" width="8" style="4" customWidth="1"/>
    <col min="2316" max="2316" width="6.7109375" style="4" customWidth="1"/>
    <col min="2317" max="2317" width="6.85546875" style="4" customWidth="1"/>
    <col min="2318" max="2318" width="8.7109375" style="4" customWidth="1"/>
    <col min="2319" max="2319" width="8" style="4" customWidth="1"/>
    <col min="2320" max="2320" width="6.7109375" style="4" customWidth="1"/>
    <col min="2321" max="2321" width="7.7109375" style="4" customWidth="1"/>
    <col min="2322" max="2322" width="7.28515625" style="4" customWidth="1"/>
    <col min="2323" max="2323" width="10.7109375" style="4" customWidth="1"/>
    <col min="2324" max="2324" width="6.85546875" style="4" customWidth="1"/>
    <col min="2325" max="2325" width="7.7109375" style="4" customWidth="1"/>
    <col min="2326" max="2326" width="6.5703125" style="4" customWidth="1"/>
    <col min="2327" max="2327" width="8" style="4" customWidth="1"/>
    <col min="2328" max="2328" width="8.140625" style="4" customWidth="1"/>
    <col min="2329" max="2329" width="5.140625" style="4" customWidth="1"/>
    <col min="2330" max="2330" width="6.85546875" style="4" customWidth="1"/>
    <col min="2331" max="2332" width="9.42578125" style="4" customWidth="1"/>
    <col min="2333" max="2333" width="0" style="4" hidden="1" customWidth="1"/>
    <col min="2334" max="2334" width="10.5703125" style="4" customWidth="1"/>
    <col min="2335" max="2337" width="9.140625" style="4"/>
    <col min="2338" max="2338" width="10.7109375" style="4" customWidth="1"/>
    <col min="2339" max="2339" width="9.42578125" style="4" bestFit="1" customWidth="1"/>
    <col min="2340" max="2560" width="9.140625" style="4"/>
    <col min="2561" max="2561" width="5.5703125" style="4" customWidth="1"/>
    <col min="2562" max="2562" width="22.28515625" style="4" customWidth="1"/>
    <col min="2563" max="2563" width="5.7109375" style="4" customWidth="1"/>
    <col min="2564" max="2564" width="6.7109375" style="4" customWidth="1"/>
    <col min="2565" max="2565" width="9.28515625" style="4" customWidth="1"/>
    <col min="2566" max="2566" width="8.7109375" style="4" customWidth="1"/>
    <col min="2567" max="2567" width="8.85546875" style="4" customWidth="1"/>
    <col min="2568" max="2568" width="8.140625" style="4" customWidth="1"/>
    <col min="2569" max="2569" width="7.5703125" style="4" customWidth="1"/>
    <col min="2570" max="2570" width="5.28515625" style="4" customWidth="1"/>
    <col min="2571" max="2571" width="8" style="4" customWidth="1"/>
    <col min="2572" max="2572" width="6.7109375" style="4" customWidth="1"/>
    <col min="2573" max="2573" width="6.85546875" style="4" customWidth="1"/>
    <col min="2574" max="2574" width="8.7109375" style="4" customWidth="1"/>
    <col min="2575" max="2575" width="8" style="4" customWidth="1"/>
    <col min="2576" max="2576" width="6.7109375" style="4" customWidth="1"/>
    <col min="2577" max="2577" width="7.7109375" style="4" customWidth="1"/>
    <col min="2578" max="2578" width="7.28515625" style="4" customWidth="1"/>
    <col min="2579" max="2579" width="10.7109375" style="4" customWidth="1"/>
    <col min="2580" max="2580" width="6.85546875" style="4" customWidth="1"/>
    <col min="2581" max="2581" width="7.7109375" style="4" customWidth="1"/>
    <col min="2582" max="2582" width="6.5703125" style="4" customWidth="1"/>
    <col min="2583" max="2583" width="8" style="4" customWidth="1"/>
    <col min="2584" max="2584" width="8.140625" style="4" customWidth="1"/>
    <col min="2585" max="2585" width="5.140625" style="4" customWidth="1"/>
    <col min="2586" max="2586" width="6.85546875" style="4" customWidth="1"/>
    <col min="2587" max="2588" width="9.42578125" style="4" customWidth="1"/>
    <col min="2589" max="2589" width="0" style="4" hidden="1" customWidth="1"/>
    <col min="2590" max="2590" width="10.5703125" style="4" customWidth="1"/>
    <col min="2591" max="2593" width="9.140625" style="4"/>
    <col min="2594" max="2594" width="10.7109375" style="4" customWidth="1"/>
    <col min="2595" max="2595" width="9.42578125" style="4" bestFit="1" customWidth="1"/>
    <col min="2596" max="2816" width="9.140625" style="4"/>
    <col min="2817" max="2817" width="5.5703125" style="4" customWidth="1"/>
    <col min="2818" max="2818" width="22.28515625" style="4" customWidth="1"/>
    <col min="2819" max="2819" width="5.7109375" style="4" customWidth="1"/>
    <col min="2820" max="2820" width="6.7109375" style="4" customWidth="1"/>
    <col min="2821" max="2821" width="9.28515625" style="4" customWidth="1"/>
    <col min="2822" max="2822" width="8.7109375" style="4" customWidth="1"/>
    <col min="2823" max="2823" width="8.85546875" style="4" customWidth="1"/>
    <col min="2824" max="2824" width="8.140625" style="4" customWidth="1"/>
    <col min="2825" max="2825" width="7.5703125" style="4" customWidth="1"/>
    <col min="2826" max="2826" width="5.28515625" style="4" customWidth="1"/>
    <col min="2827" max="2827" width="8" style="4" customWidth="1"/>
    <col min="2828" max="2828" width="6.7109375" style="4" customWidth="1"/>
    <col min="2829" max="2829" width="6.85546875" style="4" customWidth="1"/>
    <col min="2830" max="2830" width="8.7109375" style="4" customWidth="1"/>
    <col min="2831" max="2831" width="8" style="4" customWidth="1"/>
    <col min="2832" max="2832" width="6.7109375" style="4" customWidth="1"/>
    <col min="2833" max="2833" width="7.7109375" style="4" customWidth="1"/>
    <col min="2834" max="2834" width="7.28515625" style="4" customWidth="1"/>
    <col min="2835" max="2835" width="10.7109375" style="4" customWidth="1"/>
    <col min="2836" max="2836" width="6.85546875" style="4" customWidth="1"/>
    <col min="2837" max="2837" width="7.7109375" style="4" customWidth="1"/>
    <col min="2838" max="2838" width="6.5703125" style="4" customWidth="1"/>
    <col min="2839" max="2839" width="8" style="4" customWidth="1"/>
    <col min="2840" max="2840" width="8.140625" style="4" customWidth="1"/>
    <col min="2841" max="2841" width="5.140625" style="4" customWidth="1"/>
    <col min="2842" max="2842" width="6.85546875" style="4" customWidth="1"/>
    <col min="2843" max="2844" width="9.42578125" style="4" customWidth="1"/>
    <col min="2845" max="2845" width="0" style="4" hidden="1" customWidth="1"/>
    <col min="2846" max="2846" width="10.5703125" style="4" customWidth="1"/>
    <col min="2847" max="2849" width="9.140625" style="4"/>
    <col min="2850" max="2850" width="10.7109375" style="4" customWidth="1"/>
    <col min="2851" max="2851" width="9.42578125" style="4" bestFit="1" customWidth="1"/>
    <col min="2852" max="3072" width="9.140625" style="4"/>
    <col min="3073" max="3073" width="5.5703125" style="4" customWidth="1"/>
    <col min="3074" max="3074" width="22.28515625" style="4" customWidth="1"/>
    <col min="3075" max="3075" width="5.7109375" style="4" customWidth="1"/>
    <col min="3076" max="3076" width="6.7109375" style="4" customWidth="1"/>
    <col min="3077" max="3077" width="9.28515625" style="4" customWidth="1"/>
    <col min="3078" max="3078" width="8.7109375" style="4" customWidth="1"/>
    <col min="3079" max="3079" width="8.85546875" style="4" customWidth="1"/>
    <col min="3080" max="3080" width="8.140625" style="4" customWidth="1"/>
    <col min="3081" max="3081" width="7.5703125" style="4" customWidth="1"/>
    <col min="3082" max="3082" width="5.28515625" style="4" customWidth="1"/>
    <col min="3083" max="3083" width="8" style="4" customWidth="1"/>
    <col min="3084" max="3084" width="6.7109375" style="4" customWidth="1"/>
    <col min="3085" max="3085" width="6.85546875" style="4" customWidth="1"/>
    <col min="3086" max="3086" width="8.7109375" style="4" customWidth="1"/>
    <col min="3087" max="3087" width="8" style="4" customWidth="1"/>
    <col min="3088" max="3088" width="6.7109375" style="4" customWidth="1"/>
    <col min="3089" max="3089" width="7.7109375" style="4" customWidth="1"/>
    <col min="3090" max="3090" width="7.28515625" style="4" customWidth="1"/>
    <col min="3091" max="3091" width="10.7109375" style="4" customWidth="1"/>
    <col min="3092" max="3092" width="6.85546875" style="4" customWidth="1"/>
    <col min="3093" max="3093" width="7.7109375" style="4" customWidth="1"/>
    <col min="3094" max="3094" width="6.5703125" style="4" customWidth="1"/>
    <col min="3095" max="3095" width="8" style="4" customWidth="1"/>
    <col min="3096" max="3096" width="8.140625" style="4" customWidth="1"/>
    <col min="3097" max="3097" width="5.140625" style="4" customWidth="1"/>
    <col min="3098" max="3098" width="6.85546875" style="4" customWidth="1"/>
    <col min="3099" max="3100" width="9.42578125" style="4" customWidth="1"/>
    <col min="3101" max="3101" width="0" style="4" hidden="1" customWidth="1"/>
    <col min="3102" max="3102" width="10.5703125" style="4" customWidth="1"/>
    <col min="3103" max="3105" width="9.140625" style="4"/>
    <col min="3106" max="3106" width="10.7109375" style="4" customWidth="1"/>
    <col min="3107" max="3107" width="9.42578125" style="4" bestFit="1" customWidth="1"/>
    <col min="3108" max="3328" width="9.140625" style="4"/>
    <col min="3329" max="3329" width="5.5703125" style="4" customWidth="1"/>
    <col min="3330" max="3330" width="22.28515625" style="4" customWidth="1"/>
    <col min="3331" max="3331" width="5.7109375" style="4" customWidth="1"/>
    <col min="3332" max="3332" width="6.7109375" style="4" customWidth="1"/>
    <col min="3333" max="3333" width="9.28515625" style="4" customWidth="1"/>
    <col min="3334" max="3334" width="8.7109375" style="4" customWidth="1"/>
    <col min="3335" max="3335" width="8.85546875" style="4" customWidth="1"/>
    <col min="3336" max="3336" width="8.140625" style="4" customWidth="1"/>
    <col min="3337" max="3337" width="7.5703125" style="4" customWidth="1"/>
    <col min="3338" max="3338" width="5.28515625" style="4" customWidth="1"/>
    <col min="3339" max="3339" width="8" style="4" customWidth="1"/>
    <col min="3340" max="3340" width="6.7109375" style="4" customWidth="1"/>
    <col min="3341" max="3341" width="6.85546875" style="4" customWidth="1"/>
    <col min="3342" max="3342" width="8.7109375" style="4" customWidth="1"/>
    <col min="3343" max="3343" width="8" style="4" customWidth="1"/>
    <col min="3344" max="3344" width="6.7109375" style="4" customWidth="1"/>
    <col min="3345" max="3345" width="7.7109375" style="4" customWidth="1"/>
    <col min="3346" max="3346" width="7.28515625" style="4" customWidth="1"/>
    <col min="3347" max="3347" width="10.7109375" style="4" customWidth="1"/>
    <col min="3348" max="3348" width="6.85546875" style="4" customWidth="1"/>
    <col min="3349" max="3349" width="7.7109375" style="4" customWidth="1"/>
    <col min="3350" max="3350" width="6.5703125" style="4" customWidth="1"/>
    <col min="3351" max="3351" width="8" style="4" customWidth="1"/>
    <col min="3352" max="3352" width="8.140625" style="4" customWidth="1"/>
    <col min="3353" max="3353" width="5.140625" style="4" customWidth="1"/>
    <col min="3354" max="3354" width="6.85546875" style="4" customWidth="1"/>
    <col min="3355" max="3356" width="9.42578125" style="4" customWidth="1"/>
    <col min="3357" max="3357" width="0" style="4" hidden="1" customWidth="1"/>
    <col min="3358" max="3358" width="10.5703125" style="4" customWidth="1"/>
    <col min="3359" max="3361" width="9.140625" style="4"/>
    <col min="3362" max="3362" width="10.7109375" style="4" customWidth="1"/>
    <col min="3363" max="3363" width="9.42578125" style="4" bestFit="1" customWidth="1"/>
    <col min="3364" max="3584" width="9.140625" style="4"/>
    <col min="3585" max="3585" width="5.5703125" style="4" customWidth="1"/>
    <col min="3586" max="3586" width="22.28515625" style="4" customWidth="1"/>
    <col min="3587" max="3587" width="5.7109375" style="4" customWidth="1"/>
    <col min="3588" max="3588" width="6.7109375" style="4" customWidth="1"/>
    <col min="3589" max="3589" width="9.28515625" style="4" customWidth="1"/>
    <col min="3590" max="3590" width="8.7109375" style="4" customWidth="1"/>
    <col min="3591" max="3591" width="8.85546875" style="4" customWidth="1"/>
    <col min="3592" max="3592" width="8.140625" style="4" customWidth="1"/>
    <col min="3593" max="3593" width="7.5703125" style="4" customWidth="1"/>
    <col min="3594" max="3594" width="5.28515625" style="4" customWidth="1"/>
    <col min="3595" max="3595" width="8" style="4" customWidth="1"/>
    <col min="3596" max="3596" width="6.7109375" style="4" customWidth="1"/>
    <col min="3597" max="3597" width="6.85546875" style="4" customWidth="1"/>
    <col min="3598" max="3598" width="8.7109375" style="4" customWidth="1"/>
    <col min="3599" max="3599" width="8" style="4" customWidth="1"/>
    <col min="3600" max="3600" width="6.7109375" style="4" customWidth="1"/>
    <col min="3601" max="3601" width="7.7109375" style="4" customWidth="1"/>
    <col min="3602" max="3602" width="7.28515625" style="4" customWidth="1"/>
    <col min="3603" max="3603" width="10.7109375" style="4" customWidth="1"/>
    <col min="3604" max="3604" width="6.85546875" style="4" customWidth="1"/>
    <col min="3605" max="3605" width="7.7109375" style="4" customWidth="1"/>
    <col min="3606" max="3606" width="6.5703125" style="4" customWidth="1"/>
    <col min="3607" max="3607" width="8" style="4" customWidth="1"/>
    <col min="3608" max="3608" width="8.140625" style="4" customWidth="1"/>
    <col min="3609" max="3609" width="5.140625" style="4" customWidth="1"/>
    <col min="3610" max="3610" width="6.85546875" style="4" customWidth="1"/>
    <col min="3611" max="3612" width="9.42578125" style="4" customWidth="1"/>
    <col min="3613" max="3613" width="0" style="4" hidden="1" customWidth="1"/>
    <col min="3614" max="3614" width="10.5703125" style="4" customWidth="1"/>
    <col min="3615" max="3617" width="9.140625" style="4"/>
    <col min="3618" max="3618" width="10.7109375" style="4" customWidth="1"/>
    <col min="3619" max="3619" width="9.42578125" style="4" bestFit="1" customWidth="1"/>
    <col min="3620" max="3840" width="9.140625" style="4"/>
    <col min="3841" max="3841" width="5.5703125" style="4" customWidth="1"/>
    <col min="3842" max="3842" width="22.28515625" style="4" customWidth="1"/>
    <col min="3843" max="3843" width="5.7109375" style="4" customWidth="1"/>
    <col min="3844" max="3844" width="6.7109375" style="4" customWidth="1"/>
    <col min="3845" max="3845" width="9.28515625" style="4" customWidth="1"/>
    <col min="3846" max="3846" width="8.7109375" style="4" customWidth="1"/>
    <col min="3847" max="3847" width="8.85546875" style="4" customWidth="1"/>
    <col min="3848" max="3848" width="8.140625" style="4" customWidth="1"/>
    <col min="3849" max="3849" width="7.5703125" style="4" customWidth="1"/>
    <col min="3850" max="3850" width="5.28515625" style="4" customWidth="1"/>
    <col min="3851" max="3851" width="8" style="4" customWidth="1"/>
    <col min="3852" max="3852" width="6.7109375" style="4" customWidth="1"/>
    <col min="3853" max="3853" width="6.85546875" style="4" customWidth="1"/>
    <col min="3854" max="3854" width="8.7109375" style="4" customWidth="1"/>
    <col min="3855" max="3855" width="8" style="4" customWidth="1"/>
    <col min="3856" max="3856" width="6.7109375" style="4" customWidth="1"/>
    <col min="3857" max="3857" width="7.7109375" style="4" customWidth="1"/>
    <col min="3858" max="3858" width="7.28515625" style="4" customWidth="1"/>
    <col min="3859" max="3859" width="10.7109375" style="4" customWidth="1"/>
    <col min="3860" max="3860" width="6.85546875" style="4" customWidth="1"/>
    <col min="3861" max="3861" width="7.7109375" style="4" customWidth="1"/>
    <col min="3862" max="3862" width="6.5703125" style="4" customWidth="1"/>
    <col min="3863" max="3863" width="8" style="4" customWidth="1"/>
    <col min="3864" max="3864" width="8.140625" style="4" customWidth="1"/>
    <col min="3865" max="3865" width="5.140625" style="4" customWidth="1"/>
    <col min="3866" max="3866" width="6.85546875" style="4" customWidth="1"/>
    <col min="3867" max="3868" width="9.42578125" style="4" customWidth="1"/>
    <col min="3869" max="3869" width="0" style="4" hidden="1" customWidth="1"/>
    <col min="3870" max="3870" width="10.5703125" style="4" customWidth="1"/>
    <col min="3871" max="3873" width="9.140625" style="4"/>
    <col min="3874" max="3874" width="10.7109375" style="4" customWidth="1"/>
    <col min="3875" max="3875" width="9.42578125" style="4" bestFit="1" customWidth="1"/>
    <col min="3876" max="4096" width="9.140625" style="4"/>
    <col min="4097" max="4097" width="5.5703125" style="4" customWidth="1"/>
    <col min="4098" max="4098" width="22.28515625" style="4" customWidth="1"/>
    <col min="4099" max="4099" width="5.7109375" style="4" customWidth="1"/>
    <col min="4100" max="4100" width="6.7109375" style="4" customWidth="1"/>
    <col min="4101" max="4101" width="9.28515625" style="4" customWidth="1"/>
    <col min="4102" max="4102" width="8.7109375" style="4" customWidth="1"/>
    <col min="4103" max="4103" width="8.85546875" style="4" customWidth="1"/>
    <col min="4104" max="4104" width="8.140625" style="4" customWidth="1"/>
    <col min="4105" max="4105" width="7.5703125" style="4" customWidth="1"/>
    <col min="4106" max="4106" width="5.28515625" style="4" customWidth="1"/>
    <col min="4107" max="4107" width="8" style="4" customWidth="1"/>
    <col min="4108" max="4108" width="6.7109375" style="4" customWidth="1"/>
    <col min="4109" max="4109" width="6.85546875" style="4" customWidth="1"/>
    <col min="4110" max="4110" width="8.7109375" style="4" customWidth="1"/>
    <col min="4111" max="4111" width="8" style="4" customWidth="1"/>
    <col min="4112" max="4112" width="6.7109375" style="4" customWidth="1"/>
    <col min="4113" max="4113" width="7.7109375" style="4" customWidth="1"/>
    <col min="4114" max="4114" width="7.28515625" style="4" customWidth="1"/>
    <col min="4115" max="4115" width="10.7109375" style="4" customWidth="1"/>
    <col min="4116" max="4116" width="6.85546875" style="4" customWidth="1"/>
    <col min="4117" max="4117" width="7.7109375" style="4" customWidth="1"/>
    <col min="4118" max="4118" width="6.5703125" style="4" customWidth="1"/>
    <col min="4119" max="4119" width="8" style="4" customWidth="1"/>
    <col min="4120" max="4120" width="8.140625" style="4" customWidth="1"/>
    <col min="4121" max="4121" width="5.140625" style="4" customWidth="1"/>
    <col min="4122" max="4122" width="6.85546875" style="4" customWidth="1"/>
    <col min="4123" max="4124" width="9.42578125" style="4" customWidth="1"/>
    <col min="4125" max="4125" width="0" style="4" hidden="1" customWidth="1"/>
    <col min="4126" max="4126" width="10.5703125" style="4" customWidth="1"/>
    <col min="4127" max="4129" width="9.140625" style="4"/>
    <col min="4130" max="4130" width="10.7109375" style="4" customWidth="1"/>
    <col min="4131" max="4131" width="9.42578125" style="4" bestFit="1" customWidth="1"/>
    <col min="4132" max="4352" width="9.140625" style="4"/>
    <col min="4353" max="4353" width="5.5703125" style="4" customWidth="1"/>
    <col min="4354" max="4354" width="22.28515625" style="4" customWidth="1"/>
    <col min="4355" max="4355" width="5.7109375" style="4" customWidth="1"/>
    <col min="4356" max="4356" width="6.7109375" style="4" customWidth="1"/>
    <col min="4357" max="4357" width="9.28515625" style="4" customWidth="1"/>
    <col min="4358" max="4358" width="8.7109375" style="4" customWidth="1"/>
    <col min="4359" max="4359" width="8.85546875" style="4" customWidth="1"/>
    <col min="4360" max="4360" width="8.140625" style="4" customWidth="1"/>
    <col min="4361" max="4361" width="7.5703125" style="4" customWidth="1"/>
    <col min="4362" max="4362" width="5.28515625" style="4" customWidth="1"/>
    <col min="4363" max="4363" width="8" style="4" customWidth="1"/>
    <col min="4364" max="4364" width="6.7109375" style="4" customWidth="1"/>
    <col min="4365" max="4365" width="6.85546875" style="4" customWidth="1"/>
    <col min="4366" max="4366" width="8.7109375" style="4" customWidth="1"/>
    <col min="4367" max="4367" width="8" style="4" customWidth="1"/>
    <col min="4368" max="4368" width="6.7109375" style="4" customWidth="1"/>
    <col min="4369" max="4369" width="7.7109375" style="4" customWidth="1"/>
    <col min="4370" max="4370" width="7.28515625" style="4" customWidth="1"/>
    <col min="4371" max="4371" width="10.7109375" style="4" customWidth="1"/>
    <col min="4372" max="4372" width="6.85546875" style="4" customWidth="1"/>
    <col min="4373" max="4373" width="7.7109375" style="4" customWidth="1"/>
    <col min="4374" max="4374" width="6.5703125" style="4" customWidth="1"/>
    <col min="4375" max="4375" width="8" style="4" customWidth="1"/>
    <col min="4376" max="4376" width="8.140625" style="4" customWidth="1"/>
    <col min="4377" max="4377" width="5.140625" style="4" customWidth="1"/>
    <col min="4378" max="4378" width="6.85546875" style="4" customWidth="1"/>
    <col min="4379" max="4380" width="9.42578125" style="4" customWidth="1"/>
    <col min="4381" max="4381" width="0" style="4" hidden="1" customWidth="1"/>
    <col min="4382" max="4382" width="10.5703125" style="4" customWidth="1"/>
    <col min="4383" max="4385" width="9.140625" style="4"/>
    <col min="4386" max="4386" width="10.7109375" style="4" customWidth="1"/>
    <col min="4387" max="4387" width="9.42578125" style="4" bestFit="1" customWidth="1"/>
    <col min="4388" max="4608" width="9.140625" style="4"/>
    <col min="4609" max="4609" width="5.5703125" style="4" customWidth="1"/>
    <col min="4610" max="4610" width="22.28515625" style="4" customWidth="1"/>
    <col min="4611" max="4611" width="5.7109375" style="4" customWidth="1"/>
    <col min="4612" max="4612" width="6.7109375" style="4" customWidth="1"/>
    <col min="4613" max="4613" width="9.28515625" style="4" customWidth="1"/>
    <col min="4614" max="4614" width="8.7109375" style="4" customWidth="1"/>
    <col min="4615" max="4615" width="8.85546875" style="4" customWidth="1"/>
    <col min="4616" max="4616" width="8.140625" style="4" customWidth="1"/>
    <col min="4617" max="4617" width="7.5703125" style="4" customWidth="1"/>
    <col min="4618" max="4618" width="5.28515625" style="4" customWidth="1"/>
    <col min="4619" max="4619" width="8" style="4" customWidth="1"/>
    <col min="4620" max="4620" width="6.7109375" style="4" customWidth="1"/>
    <col min="4621" max="4621" width="6.85546875" style="4" customWidth="1"/>
    <col min="4622" max="4622" width="8.7109375" style="4" customWidth="1"/>
    <col min="4623" max="4623" width="8" style="4" customWidth="1"/>
    <col min="4624" max="4624" width="6.7109375" style="4" customWidth="1"/>
    <col min="4625" max="4625" width="7.7109375" style="4" customWidth="1"/>
    <col min="4626" max="4626" width="7.28515625" style="4" customWidth="1"/>
    <col min="4627" max="4627" width="10.7109375" style="4" customWidth="1"/>
    <col min="4628" max="4628" width="6.85546875" style="4" customWidth="1"/>
    <col min="4629" max="4629" width="7.7109375" style="4" customWidth="1"/>
    <col min="4630" max="4630" width="6.5703125" style="4" customWidth="1"/>
    <col min="4631" max="4631" width="8" style="4" customWidth="1"/>
    <col min="4632" max="4632" width="8.140625" style="4" customWidth="1"/>
    <col min="4633" max="4633" width="5.140625" style="4" customWidth="1"/>
    <col min="4634" max="4634" width="6.85546875" style="4" customWidth="1"/>
    <col min="4635" max="4636" width="9.42578125" style="4" customWidth="1"/>
    <col min="4637" max="4637" width="0" style="4" hidden="1" customWidth="1"/>
    <col min="4638" max="4638" width="10.5703125" style="4" customWidth="1"/>
    <col min="4639" max="4641" width="9.140625" style="4"/>
    <col min="4642" max="4642" width="10.7109375" style="4" customWidth="1"/>
    <col min="4643" max="4643" width="9.42578125" style="4" bestFit="1" customWidth="1"/>
    <col min="4644" max="4864" width="9.140625" style="4"/>
    <col min="4865" max="4865" width="5.5703125" style="4" customWidth="1"/>
    <col min="4866" max="4866" width="22.28515625" style="4" customWidth="1"/>
    <col min="4867" max="4867" width="5.7109375" style="4" customWidth="1"/>
    <col min="4868" max="4868" width="6.7109375" style="4" customWidth="1"/>
    <col min="4869" max="4869" width="9.28515625" style="4" customWidth="1"/>
    <col min="4870" max="4870" width="8.7109375" style="4" customWidth="1"/>
    <col min="4871" max="4871" width="8.85546875" style="4" customWidth="1"/>
    <col min="4872" max="4872" width="8.140625" style="4" customWidth="1"/>
    <col min="4873" max="4873" width="7.5703125" style="4" customWidth="1"/>
    <col min="4874" max="4874" width="5.28515625" style="4" customWidth="1"/>
    <col min="4875" max="4875" width="8" style="4" customWidth="1"/>
    <col min="4876" max="4876" width="6.7109375" style="4" customWidth="1"/>
    <col min="4877" max="4877" width="6.85546875" style="4" customWidth="1"/>
    <col min="4878" max="4878" width="8.7109375" style="4" customWidth="1"/>
    <col min="4879" max="4879" width="8" style="4" customWidth="1"/>
    <col min="4880" max="4880" width="6.7109375" style="4" customWidth="1"/>
    <col min="4881" max="4881" width="7.7109375" style="4" customWidth="1"/>
    <col min="4882" max="4882" width="7.28515625" style="4" customWidth="1"/>
    <col min="4883" max="4883" width="10.7109375" style="4" customWidth="1"/>
    <col min="4884" max="4884" width="6.85546875" style="4" customWidth="1"/>
    <col min="4885" max="4885" width="7.7109375" style="4" customWidth="1"/>
    <col min="4886" max="4886" width="6.5703125" style="4" customWidth="1"/>
    <col min="4887" max="4887" width="8" style="4" customWidth="1"/>
    <col min="4888" max="4888" width="8.140625" style="4" customWidth="1"/>
    <col min="4889" max="4889" width="5.140625" style="4" customWidth="1"/>
    <col min="4890" max="4890" width="6.85546875" style="4" customWidth="1"/>
    <col min="4891" max="4892" width="9.42578125" style="4" customWidth="1"/>
    <col min="4893" max="4893" width="0" style="4" hidden="1" customWidth="1"/>
    <col min="4894" max="4894" width="10.5703125" style="4" customWidth="1"/>
    <col min="4895" max="4897" width="9.140625" style="4"/>
    <col min="4898" max="4898" width="10.7109375" style="4" customWidth="1"/>
    <col min="4899" max="4899" width="9.42578125" style="4" bestFit="1" customWidth="1"/>
    <col min="4900" max="5120" width="9.140625" style="4"/>
    <col min="5121" max="5121" width="5.5703125" style="4" customWidth="1"/>
    <col min="5122" max="5122" width="22.28515625" style="4" customWidth="1"/>
    <col min="5123" max="5123" width="5.7109375" style="4" customWidth="1"/>
    <col min="5124" max="5124" width="6.7109375" style="4" customWidth="1"/>
    <col min="5125" max="5125" width="9.28515625" style="4" customWidth="1"/>
    <col min="5126" max="5126" width="8.7109375" style="4" customWidth="1"/>
    <col min="5127" max="5127" width="8.85546875" style="4" customWidth="1"/>
    <col min="5128" max="5128" width="8.140625" style="4" customWidth="1"/>
    <col min="5129" max="5129" width="7.5703125" style="4" customWidth="1"/>
    <col min="5130" max="5130" width="5.28515625" style="4" customWidth="1"/>
    <col min="5131" max="5131" width="8" style="4" customWidth="1"/>
    <col min="5132" max="5132" width="6.7109375" style="4" customWidth="1"/>
    <col min="5133" max="5133" width="6.85546875" style="4" customWidth="1"/>
    <col min="5134" max="5134" width="8.7109375" style="4" customWidth="1"/>
    <col min="5135" max="5135" width="8" style="4" customWidth="1"/>
    <col min="5136" max="5136" width="6.7109375" style="4" customWidth="1"/>
    <col min="5137" max="5137" width="7.7109375" style="4" customWidth="1"/>
    <col min="5138" max="5138" width="7.28515625" style="4" customWidth="1"/>
    <col min="5139" max="5139" width="10.7109375" style="4" customWidth="1"/>
    <col min="5140" max="5140" width="6.85546875" style="4" customWidth="1"/>
    <col min="5141" max="5141" width="7.7109375" style="4" customWidth="1"/>
    <col min="5142" max="5142" width="6.5703125" style="4" customWidth="1"/>
    <col min="5143" max="5143" width="8" style="4" customWidth="1"/>
    <col min="5144" max="5144" width="8.140625" style="4" customWidth="1"/>
    <col min="5145" max="5145" width="5.140625" style="4" customWidth="1"/>
    <col min="5146" max="5146" width="6.85546875" style="4" customWidth="1"/>
    <col min="5147" max="5148" width="9.42578125" style="4" customWidth="1"/>
    <col min="5149" max="5149" width="0" style="4" hidden="1" customWidth="1"/>
    <col min="5150" max="5150" width="10.5703125" style="4" customWidth="1"/>
    <col min="5151" max="5153" width="9.140625" style="4"/>
    <col min="5154" max="5154" width="10.7109375" style="4" customWidth="1"/>
    <col min="5155" max="5155" width="9.42578125" style="4" bestFit="1" customWidth="1"/>
    <col min="5156" max="5376" width="9.140625" style="4"/>
    <col min="5377" max="5377" width="5.5703125" style="4" customWidth="1"/>
    <col min="5378" max="5378" width="22.28515625" style="4" customWidth="1"/>
    <col min="5379" max="5379" width="5.7109375" style="4" customWidth="1"/>
    <col min="5380" max="5380" width="6.7109375" style="4" customWidth="1"/>
    <col min="5381" max="5381" width="9.28515625" style="4" customWidth="1"/>
    <col min="5382" max="5382" width="8.7109375" style="4" customWidth="1"/>
    <col min="5383" max="5383" width="8.85546875" style="4" customWidth="1"/>
    <col min="5384" max="5384" width="8.140625" style="4" customWidth="1"/>
    <col min="5385" max="5385" width="7.5703125" style="4" customWidth="1"/>
    <col min="5386" max="5386" width="5.28515625" style="4" customWidth="1"/>
    <col min="5387" max="5387" width="8" style="4" customWidth="1"/>
    <col min="5388" max="5388" width="6.7109375" style="4" customWidth="1"/>
    <col min="5389" max="5389" width="6.85546875" style="4" customWidth="1"/>
    <col min="5390" max="5390" width="8.7109375" style="4" customWidth="1"/>
    <col min="5391" max="5391" width="8" style="4" customWidth="1"/>
    <col min="5392" max="5392" width="6.7109375" style="4" customWidth="1"/>
    <col min="5393" max="5393" width="7.7109375" style="4" customWidth="1"/>
    <col min="5394" max="5394" width="7.28515625" style="4" customWidth="1"/>
    <col min="5395" max="5395" width="10.7109375" style="4" customWidth="1"/>
    <col min="5396" max="5396" width="6.85546875" style="4" customWidth="1"/>
    <col min="5397" max="5397" width="7.7109375" style="4" customWidth="1"/>
    <col min="5398" max="5398" width="6.5703125" style="4" customWidth="1"/>
    <col min="5399" max="5399" width="8" style="4" customWidth="1"/>
    <col min="5400" max="5400" width="8.140625" style="4" customWidth="1"/>
    <col min="5401" max="5401" width="5.140625" style="4" customWidth="1"/>
    <col min="5402" max="5402" width="6.85546875" style="4" customWidth="1"/>
    <col min="5403" max="5404" width="9.42578125" style="4" customWidth="1"/>
    <col min="5405" max="5405" width="0" style="4" hidden="1" customWidth="1"/>
    <col min="5406" max="5406" width="10.5703125" style="4" customWidth="1"/>
    <col min="5407" max="5409" width="9.140625" style="4"/>
    <col min="5410" max="5410" width="10.7109375" style="4" customWidth="1"/>
    <col min="5411" max="5411" width="9.42578125" style="4" bestFit="1" customWidth="1"/>
    <col min="5412" max="5632" width="9.140625" style="4"/>
    <col min="5633" max="5633" width="5.5703125" style="4" customWidth="1"/>
    <col min="5634" max="5634" width="22.28515625" style="4" customWidth="1"/>
    <col min="5635" max="5635" width="5.7109375" style="4" customWidth="1"/>
    <col min="5636" max="5636" width="6.7109375" style="4" customWidth="1"/>
    <col min="5637" max="5637" width="9.28515625" style="4" customWidth="1"/>
    <col min="5638" max="5638" width="8.7109375" style="4" customWidth="1"/>
    <col min="5639" max="5639" width="8.85546875" style="4" customWidth="1"/>
    <col min="5640" max="5640" width="8.140625" style="4" customWidth="1"/>
    <col min="5641" max="5641" width="7.5703125" style="4" customWidth="1"/>
    <col min="5642" max="5642" width="5.28515625" style="4" customWidth="1"/>
    <col min="5643" max="5643" width="8" style="4" customWidth="1"/>
    <col min="5644" max="5644" width="6.7109375" style="4" customWidth="1"/>
    <col min="5645" max="5645" width="6.85546875" style="4" customWidth="1"/>
    <col min="5646" max="5646" width="8.7109375" style="4" customWidth="1"/>
    <col min="5647" max="5647" width="8" style="4" customWidth="1"/>
    <col min="5648" max="5648" width="6.7109375" style="4" customWidth="1"/>
    <col min="5649" max="5649" width="7.7109375" style="4" customWidth="1"/>
    <col min="5650" max="5650" width="7.28515625" style="4" customWidth="1"/>
    <col min="5651" max="5651" width="10.7109375" style="4" customWidth="1"/>
    <col min="5652" max="5652" width="6.85546875" style="4" customWidth="1"/>
    <col min="5653" max="5653" width="7.7109375" style="4" customWidth="1"/>
    <col min="5654" max="5654" width="6.5703125" style="4" customWidth="1"/>
    <col min="5655" max="5655" width="8" style="4" customWidth="1"/>
    <col min="5656" max="5656" width="8.140625" style="4" customWidth="1"/>
    <col min="5657" max="5657" width="5.140625" style="4" customWidth="1"/>
    <col min="5658" max="5658" width="6.85546875" style="4" customWidth="1"/>
    <col min="5659" max="5660" width="9.42578125" style="4" customWidth="1"/>
    <col min="5661" max="5661" width="0" style="4" hidden="1" customWidth="1"/>
    <col min="5662" max="5662" width="10.5703125" style="4" customWidth="1"/>
    <col min="5663" max="5665" width="9.140625" style="4"/>
    <col min="5666" max="5666" width="10.7109375" style="4" customWidth="1"/>
    <col min="5667" max="5667" width="9.42578125" style="4" bestFit="1" customWidth="1"/>
    <col min="5668" max="5888" width="9.140625" style="4"/>
    <col min="5889" max="5889" width="5.5703125" style="4" customWidth="1"/>
    <col min="5890" max="5890" width="22.28515625" style="4" customWidth="1"/>
    <col min="5891" max="5891" width="5.7109375" style="4" customWidth="1"/>
    <col min="5892" max="5892" width="6.7109375" style="4" customWidth="1"/>
    <col min="5893" max="5893" width="9.28515625" style="4" customWidth="1"/>
    <col min="5894" max="5894" width="8.7109375" style="4" customWidth="1"/>
    <col min="5895" max="5895" width="8.85546875" style="4" customWidth="1"/>
    <col min="5896" max="5896" width="8.140625" style="4" customWidth="1"/>
    <col min="5897" max="5897" width="7.5703125" style="4" customWidth="1"/>
    <col min="5898" max="5898" width="5.28515625" style="4" customWidth="1"/>
    <col min="5899" max="5899" width="8" style="4" customWidth="1"/>
    <col min="5900" max="5900" width="6.7109375" style="4" customWidth="1"/>
    <col min="5901" max="5901" width="6.85546875" style="4" customWidth="1"/>
    <col min="5902" max="5902" width="8.7109375" style="4" customWidth="1"/>
    <col min="5903" max="5903" width="8" style="4" customWidth="1"/>
    <col min="5904" max="5904" width="6.7109375" style="4" customWidth="1"/>
    <col min="5905" max="5905" width="7.7109375" style="4" customWidth="1"/>
    <col min="5906" max="5906" width="7.28515625" style="4" customWidth="1"/>
    <col min="5907" max="5907" width="10.7109375" style="4" customWidth="1"/>
    <col min="5908" max="5908" width="6.85546875" style="4" customWidth="1"/>
    <col min="5909" max="5909" width="7.7109375" style="4" customWidth="1"/>
    <col min="5910" max="5910" width="6.5703125" style="4" customWidth="1"/>
    <col min="5911" max="5911" width="8" style="4" customWidth="1"/>
    <col min="5912" max="5912" width="8.140625" style="4" customWidth="1"/>
    <col min="5913" max="5913" width="5.140625" style="4" customWidth="1"/>
    <col min="5914" max="5914" width="6.85546875" style="4" customWidth="1"/>
    <col min="5915" max="5916" width="9.42578125" style="4" customWidth="1"/>
    <col min="5917" max="5917" width="0" style="4" hidden="1" customWidth="1"/>
    <col min="5918" max="5918" width="10.5703125" style="4" customWidth="1"/>
    <col min="5919" max="5921" width="9.140625" style="4"/>
    <col min="5922" max="5922" width="10.7109375" style="4" customWidth="1"/>
    <col min="5923" max="5923" width="9.42578125" style="4" bestFit="1" customWidth="1"/>
    <col min="5924" max="6144" width="9.140625" style="4"/>
    <col min="6145" max="6145" width="5.5703125" style="4" customWidth="1"/>
    <col min="6146" max="6146" width="22.28515625" style="4" customWidth="1"/>
    <col min="6147" max="6147" width="5.7109375" style="4" customWidth="1"/>
    <col min="6148" max="6148" width="6.7109375" style="4" customWidth="1"/>
    <col min="6149" max="6149" width="9.28515625" style="4" customWidth="1"/>
    <col min="6150" max="6150" width="8.7109375" style="4" customWidth="1"/>
    <col min="6151" max="6151" width="8.85546875" style="4" customWidth="1"/>
    <col min="6152" max="6152" width="8.140625" style="4" customWidth="1"/>
    <col min="6153" max="6153" width="7.5703125" style="4" customWidth="1"/>
    <col min="6154" max="6154" width="5.28515625" style="4" customWidth="1"/>
    <col min="6155" max="6155" width="8" style="4" customWidth="1"/>
    <col min="6156" max="6156" width="6.7109375" style="4" customWidth="1"/>
    <col min="6157" max="6157" width="6.85546875" style="4" customWidth="1"/>
    <col min="6158" max="6158" width="8.7109375" style="4" customWidth="1"/>
    <col min="6159" max="6159" width="8" style="4" customWidth="1"/>
    <col min="6160" max="6160" width="6.7109375" style="4" customWidth="1"/>
    <col min="6161" max="6161" width="7.7109375" style="4" customWidth="1"/>
    <col min="6162" max="6162" width="7.28515625" style="4" customWidth="1"/>
    <col min="6163" max="6163" width="10.7109375" style="4" customWidth="1"/>
    <col min="6164" max="6164" width="6.85546875" style="4" customWidth="1"/>
    <col min="6165" max="6165" width="7.7109375" style="4" customWidth="1"/>
    <col min="6166" max="6166" width="6.5703125" style="4" customWidth="1"/>
    <col min="6167" max="6167" width="8" style="4" customWidth="1"/>
    <col min="6168" max="6168" width="8.140625" style="4" customWidth="1"/>
    <col min="6169" max="6169" width="5.140625" style="4" customWidth="1"/>
    <col min="6170" max="6170" width="6.85546875" style="4" customWidth="1"/>
    <col min="6171" max="6172" width="9.42578125" style="4" customWidth="1"/>
    <col min="6173" max="6173" width="0" style="4" hidden="1" customWidth="1"/>
    <col min="6174" max="6174" width="10.5703125" style="4" customWidth="1"/>
    <col min="6175" max="6177" width="9.140625" style="4"/>
    <col min="6178" max="6178" width="10.7109375" style="4" customWidth="1"/>
    <col min="6179" max="6179" width="9.42578125" style="4" bestFit="1" customWidth="1"/>
    <col min="6180" max="6400" width="9.140625" style="4"/>
    <col min="6401" max="6401" width="5.5703125" style="4" customWidth="1"/>
    <col min="6402" max="6402" width="22.28515625" style="4" customWidth="1"/>
    <col min="6403" max="6403" width="5.7109375" style="4" customWidth="1"/>
    <col min="6404" max="6404" width="6.7109375" style="4" customWidth="1"/>
    <col min="6405" max="6405" width="9.28515625" style="4" customWidth="1"/>
    <col min="6406" max="6406" width="8.7109375" style="4" customWidth="1"/>
    <col min="6407" max="6407" width="8.85546875" style="4" customWidth="1"/>
    <col min="6408" max="6408" width="8.140625" style="4" customWidth="1"/>
    <col min="6409" max="6409" width="7.5703125" style="4" customWidth="1"/>
    <col min="6410" max="6410" width="5.28515625" style="4" customWidth="1"/>
    <col min="6411" max="6411" width="8" style="4" customWidth="1"/>
    <col min="6412" max="6412" width="6.7109375" style="4" customWidth="1"/>
    <col min="6413" max="6413" width="6.85546875" style="4" customWidth="1"/>
    <col min="6414" max="6414" width="8.7109375" style="4" customWidth="1"/>
    <col min="6415" max="6415" width="8" style="4" customWidth="1"/>
    <col min="6416" max="6416" width="6.7109375" style="4" customWidth="1"/>
    <col min="6417" max="6417" width="7.7109375" style="4" customWidth="1"/>
    <col min="6418" max="6418" width="7.28515625" style="4" customWidth="1"/>
    <col min="6419" max="6419" width="10.7109375" style="4" customWidth="1"/>
    <col min="6420" max="6420" width="6.85546875" style="4" customWidth="1"/>
    <col min="6421" max="6421" width="7.7109375" style="4" customWidth="1"/>
    <col min="6422" max="6422" width="6.5703125" style="4" customWidth="1"/>
    <col min="6423" max="6423" width="8" style="4" customWidth="1"/>
    <col min="6424" max="6424" width="8.140625" style="4" customWidth="1"/>
    <col min="6425" max="6425" width="5.140625" style="4" customWidth="1"/>
    <col min="6426" max="6426" width="6.85546875" style="4" customWidth="1"/>
    <col min="6427" max="6428" width="9.42578125" style="4" customWidth="1"/>
    <col min="6429" max="6429" width="0" style="4" hidden="1" customWidth="1"/>
    <col min="6430" max="6430" width="10.5703125" style="4" customWidth="1"/>
    <col min="6431" max="6433" width="9.140625" style="4"/>
    <col min="6434" max="6434" width="10.7109375" style="4" customWidth="1"/>
    <col min="6435" max="6435" width="9.42578125" style="4" bestFit="1" customWidth="1"/>
    <col min="6436" max="6656" width="9.140625" style="4"/>
    <col min="6657" max="6657" width="5.5703125" style="4" customWidth="1"/>
    <col min="6658" max="6658" width="22.28515625" style="4" customWidth="1"/>
    <col min="6659" max="6659" width="5.7109375" style="4" customWidth="1"/>
    <col min="6660" max="6660" width="6.7109375" style="4" customWidth="1"/>
    <col min="6661" max="6661" width="9.28515625" style="4" customWidth="1"/>
    <col min="6662" max="6662" width="8.7109375" style="4" customWidth="1"/>
    <col min="6663" max="6663" width="8.85546875" style="4" customWidth="1"/>
    <col min="6664" max="6664" width="8.140625" style="4" customWidth="1"/>
    <col min="6665" max="6665" width="7.5703125" style="4" customWidth="1"/>
    <col min="6666" max="6666" width="5.28515625" style="4" customWidth="1"/>
    <col min="6667" max="6667" width="8" style="4" customWidth="1"/>
    <col min="6668" max="6668" width="6.7109375" style="4" customWidth="1"/>
    <col min="6669" max="6669" width="6.85546875" style="4" customWidth="1"/>
    <col min="6670" max="6670" width="8.7109375" style="4" customWidth="1"/>
    <col min="6671" max="6671" width="8" style="4" customWidth="1"/>
    <col min="6672" max="6672" width="6.7109375" style="4" customWidth="1"/>
    <col min="6673" max="6673" width="7.7109375" style="4" customWidth="1"/>
    <col min="6674" max="6674" width="7.28515625" style="4" customWidth="1"/>
    <col min="6675" max="6675" width="10.7109375" style="4" customWidth="1"/>
    <col min="6676" max="6676" width="6.85546875" style="4" customWidth="1"/>
    <col min="6677" max="6677" width="7.7109375" style="4" customWidth="1"/>
    <col min="6678" max="6678" width="6.5703125" style="4" customWidth="1"/>
    <col min="6679" max="6679" width="8" style="4" customWidth="1"/>
    <col min="6680" max="6680" width="8.140625" style="4" customWidth="1"/>
    <col min="6681" max="6681" width="5.140625" style="4" customWidth="1"/>
    <col min="6682" max="6682" width="6.85546875" style="4" customWidth="1"/>
    <col min="6683" max="6684" width="9.42578125" style="4" customWidth="1"/>
    <col min="6685" max="6685" width="0" style="4" hidden="1" customWidth="1"/>
    <col min="6686" max="6686" width="10.5703125" style="4" customWidth="1"/>
    <col min="6687" max="6689" width="9.140625" style="4"/>
    <col min="6690" max="6690" width="10.7109375" style="4" customWidth="1"/>
    <col min="6691" max="6691" width="9.42578125" style="4" bestFit="1" customWidth="1"/>
    <col min="6692" max="6912" width="9.140625" style="4"/>
    <col min="6913" max="6913" width="5.5703125" style="4" customWidth="1"/>
    <col min="6914" max="6914" width="22.28515625" style="4" customWidth="1"/>
    <col min="6915" max="6915" width="5.7109375" style="4" customWidth="1"/>
    <col min="6916" max="6916" width="6.7109375" style="4" customWidth="1"/>
    <col min="6917" max="6917" width="9.28515625" style="4" customWidth="1"/>
    <col min="6918" max="6918" width="8.7109375" style="4" customWidth="1"/>
    <col min="6919" max="6919" width="8.85546875" style="4" customWidth="1"/>
    <col min="6920" max="6920" width="8.140625" style="4" customWidth="1"/>
    <col min="6921" max="6921" width="7.5703125" style="4" customWidth="1"/>
    <col min="6922" max="6922" width="5.28515625" style="4" customWidth="1"/>
    <col min="6923" max="6923" width="8" style="4" customWidth="1"/>
    <col min="6924" max="6924" width="6.7109375" style="4" customWidth="1"/>
    <col min="6925" max="6925" width="6.85546875" style="4" customWidth="1"/>
    <col min="6926" max="6926" width="8.7109375" style="4" customWidth="1"/>
    <col min="6927" max="6927" width="8" style="4" customWidth="1"/>
    <col min="6928" max="6928" width="6.7109375" style="4" customWidth="1"/>
    <col min="6929" max="6929" width="7.7109375" style="4" customWidth="1"/>
    <col min="6930" max="6930" width="7.28515625" style="4" customWidth="1"/>
    <col min="6931" max="6931" width="10.7109375" style="4" customWidth="1"/>
    <col min="6932" max="6932" width="6.85546875" style="4" customWidth="1"/>
    <col min="6933" max="6933" width="7.7109375" style="4" customWidth="1"/>
    <col min="6934" max="6934" width="6.5703125" style="4" customWidth="1"/>
    <col min="6935" max="6935" width="8" style="4" customWidth="1"/>
    <col min="6936" max="6936" width="8.140625" style="4" customWidth="1"/>
    <col min="6937" max="6937" width="5.140625" style="4" customWidth="1"/>
    <col min="6938" max="6938" width="6.85546875" style="4" customWidth="1"/>
    <col min="6939" max="6940" width="9.42578125" style="4" customWidth="1"/>
    <col min="6941" max="6941" width="0" style="4" hidden="1" customWidth="1"/>
    <col min="6942" max="6942" width="10.5703125" style="4" customWidth="1"/>
    <col min="6943" max="6945" width="9.140625" style="4"/>
    <col min="6946" max="6946" width="10.7109375" style="4" customWidth="1"/>
    <col min="6947" max="6947" width="9.42578125" style="4" bestFit="1" customWidth="1"/>
    <col min="6948" max="7168" width="9.140625" style="4"/>
    <col min="7169" max="7169" width="5.5703125" style="4" customWidth="1"/>
    <col min="7170" max="7170" width="22.28515625" style="4" customWidth="1"/>
    <col min="7171" max="7171" width="5.7109375" style="4" customWidth="1"/>
    <col min="7172" max="7172" width="6.7109375" style="4" customWidth="1"/>
    <col min="7173" max="7173" width="9.28515625" style="4" customWidth="1"/>
    <col min="7174" max="7174" width="8.7109375" style="4" customWidth="1"/>
    <col min="7175" max="7175" width="8.85546875" style="4" customWidth="1"/>
    <col min="7176" max="7176" width="8.140625" style="4" customWidth="1"/>
    <col min="7177" max="7177" width="7.5703125" style="4" customWidth="1"/>
    <col min="7178" max="7178" width="5.28515625" style="4" customWidth="1"/>
    <col min="7179" max="7179" width="8" style="4" customWidth="1"/>
    <col min="7180" max="7180" width="6.7109375" style="4" customWidth="1"/>
    <col min="7181" max="7181" width="6.85546875" style="4" customWidth="1"/>
    <col min="7182" max="7182" width="8.7109375" style="4" customWidth="1"/>
    <col min="7183" max="7183" width="8" style="4" customWidth="1"/>
    <col min="7184" max="7184" width="6.7109375" style="4" customWidth="1"/>
    <col min="7185" max="7185" width="7.7109375" style="4" customWidth="1"/>
    <col min="7186" max="7186" width="7.28515625" style="4" customWidth="1"/>
    <col min="7187" max="7187" width="10.7109375" style="4" customWidth="1"/>
    <col min="7188" max="7188" width="6.85546875" style="4" customWidth="1"/>
    <col min="7189" max="7189" width="7.7109375" style="4" customWidth="1"/>
    <col min="7190" max="7190" width="6.5703125" style="4" customWidth="1"/>
    <col min="7191" max="7191" width="8" style="4" customWidth="1"/>
    <col min="7192" max="7192" width="8.140625" style="4" customWidth="1"/>
    <col min="7193" max="7193" width="5.140625" style="4" customWidth="1"/>
    <col min="7194" max="7194" width="6.85546875" style="4" customWidth="1"/>
    <col min="7195" max="7196" width="9.42578125" style="4" customWidth="1"/>
    <col min="7197" max="7197" width="0" style="4" hidden="1" customWidth="1"/>
    <col min="7198" max="7198" width="10.5703125" style="4" customWidth="1"/>
    <col min="7199" max="7201" width="9.140625" style="4"/>
    <col min="7202" max="7202" width="10.7109375" style="4" customWidth="1"/>
    <col min="7203" max="7203" width="9.42578125" style="4" bestFit="1" customWidth="1"/>
    <col min="7204" max="7424" width="9.140625" style="4"/>
    <col min="7425" max="7425" width="5.5703125" style="4" customWidth="1"/>
    <col min="7426" max="7426" width="22.28515625" style="4" customWidth="1"/>
    <col min="7427" max="7427" width="5.7109375" style="4" customWidth="1"/>
    <col min="7428" max="7428" width="6.7109375" style="4" customWidth="1"/>
    <col min="7429" max="7429" width="9.28515625" style="4" customWidth="1"/>
    <col min="7430" max="7430" width="8.7109375" style="4" customWidth="1"/>
    <col min="7431" max="7431" width="8.85546875" style="4" customWidth="1"/>
    <col min="7432" max="7432" width="8.140625" style="4" customWidth="1"/>
    <col min="7433" max="7433" width="7.5703125" style="4" customWidth="1"/>
    <col min="7434" max="7434" width="5.28515625" style="4" customWidth="1"/>
    <col min="7435" max="7435" width="8" style="4" customWidth="1"/>
    <col min="7436" max="7436" width="6.7109375" style="4" customWidth="1"/>
    <col min="7437" max="7437" width="6.85546875" style="4" customWidth="1"/>
    <col min="7438" max="7438" width="8.7109375" style="4" customWidth="1"/>
    <col min="7439" max="7439" width="8" style="4" customWidth="1"/>
    <col min="7440" max="7440" width="6.7109375" style="4" customWidth="1"/>
    <col min="7441" max="7441" width="7.7109375" style="4" customWidth="1"/>
    <col min="7442" max="7442" width="7.28515625" style="4" customWidth="1"/>
    <col min="7443" max="7443" width="10.7109375" style="4" customWidth="1"/>
    <col min="7444" max="7444" width="6.85546875" style="4" customWidth="1"/>
    <col min="7445" max="7445" width="7.7109375" style="4" customWidth="1"/>
    <col min="7446" max="7446" width="6.5703125" style="4" customWidth="1"/>
    <col min="7447" max="7447" width="8" style="4" customWidth="1"/>
    <col min="7448" max="7448" width="8.140625" style="4" customWidth="1"/>
    <col min="7449" max="7449" width="5.140625" style="4" customWidth="1"/>
    <col min="7450" max="7450" width="6.85546875" style="4" customWidth="1"/>
    <col min="7451" max="7452" width="9.42578125" style="4" customWidth="1"/>
    <col min="7453" max="7453" width="0" style="4" hidden="1" customWidth="1"/>
    <col min="7454" max="7454" width="10.5703125" style="4" customWidth="1"/>
    <col min="7455" max="7457" width="9.140625" style="4"/>
    <col min="7458" max="7458" width="10.7109375" style="4" customWidth="1"/>
    <col min="7459" max="7459" width="9.42578125" style="4" bestFit="1" customWidth="1"/>
    <col min="7460" max="7680" width="9.140625" style="4"/>
    <col min="7681" max="7681" width="5.5703125" style="4" customWidth="1"/>
    <col min="7682" max="7682" width="22.28515625" style="4" customWidth="1"/>
    <col min="7683" max="7683" width="5.7109375" style="4" customWidth="1"/>
    <col min="7684" max="7684" width="6.7109375" style="4" customWidth="1"/>
    <col min="7685" max="7685" width="9.28515625" style="4" customWidth="1"/>
    <col min="7686" max="7686" width="8.7109375" style="4" customWidth="1"/>
    <col min="7687" max="7687" width="8.85546875" style="4" customWidth="1"/>
    <col min="7688" max="7688" width="8.140625" style="4" customWidth="1"/>
    <col min="7689" max="7689" width="7.5703125" style="4" customWidth="1"/>
    <col min="7690" max="7690" width="5.28515625" style="4" customWidth="1"/>
    <col min="7691" max="7691" width="8" style="4" customWidth="1"/>
    <col min="7692" max="7692" width="6.7109375" style="4" customWidth="1"/>
    <col min="7693" max="7693" width="6.85546875" style="4" customWidth="1"/>
    <col min="7694" max="7694" width="8.7109375" style="4" customWidth="1"/>
    <col min="7695" max="7695" width="8" style="4" customWidth="1"/>
    <col min="7696" max="7696" width="6.7109375" style="4" customWidth="1"/>
    <col min="7697" max="7697" width="7.7109375" style="4" customWidth="1"/>
    <col min="7698" max="7698" width="7.28515625" style="4" customWidth="1"/>
    <col min="7699" max="7699" width="10.7109375" style="4" customWidth="1"/>
    <col min="7700" max="7700" width="6.85546875" style="4" customWidth="1"/>
    <col min="7701" max="7701" width="7.7109375" style="4" customWidth="1"/>
    <col min="7702" max="7702" width="6.5703125" style="4" customWidth="1"/>
    <col min="7703" max="7703" width="8" style="4" customWidth="1"/>
    <col min="7704" max="7704" width="8.140625" style="4" customWidth="1"/>
    <col min="7705" max="7705" width="5.140625" style="4" customWidth="1"/>
    <col min="7706" max="7706" width="6.85546875" style="4" customWidth="1"/>
    <col min="7707" max="7708" width="9.42578125" style="4" customWidth="1"/>
    <col min="7709" max="7709" width="0" style="4" hidden="1" customWidth="1"/>
    <col min="7710" max="7710" width="10.5703125" style="4" customWidth="1"/>
    <col min="7711" max="7713" width="9.140625" style="4"/>
    <col min="7714" max="7714" width="10.7109375" style="4" customWidth="1"/>
    <col min="7715" max="7715" width="9.42578125" style="4" bestFit="1" customWidth="1"/>
    <col min="7716" max="7936" width="9.140625" style="4"/>
    <col min="7937" max="7937" width="5.5703125" style="4" customWidth="1"/>
    <col min="7938" max="7938" width="22.28515625" style="4" customWidth="1"/>
    <col min="7939" max="7939" width="5.7109375" style="4" customWidth="1"/>
    <col min="7940" max="7940" width="6.7109375" style="4" customWidth="1"/>
    <col min="7941" max="7941" width="9.28515625" style="4" customWidth="1"/>
    <col min="7942" max="7942" width="8.7109375" style="4" customWidth="1"/>
    <col min="7943" max="7943" width="8.85546875" style="4" customWidth="1"/>
    <col min="7944" max="7944" width="8.140625" style="4" customWidth="1"/>
    <col min="7945" max="7945" width="7.5703125" style="4" customWidth="1"/>
    <col min="7946" max="7946" width="5.28515625" style="4" customWidth="1"/>
    <col min="7947" max="7947" width="8" style="4" customWidth="1"/>
    <col min="7948" max="7948" width="6.7109375" style="4" customWidth="1"/>
    <col min="7949" max="7949" width="6.85546875" style="4" customWidth="1"/>
    <col min="7950" max="7950" width="8.7109375" style="4" customWidth="1"/>
    <col min="7951" max="7951" width="8" style="4" customWidth="1"/>
    <col min="7952" max="7952" width="6.7109375" style="4" customWidth="1"/>
    <col min="7953" max="7953" width="7.7109375" style="4" customWidth="1"/>
    <col min="7954" max="7954" width="7.28515625" style="4" customWidth="1"/>
    <col min="7955" max="7955" width="10.7109375" style="4" customWidth="1"/>
    <col min="7956" max="7956" width="6.85546875" style="4" customWidth="1"/>
    <col min="7957" max="7957" width="7.7109375" style="4" customWidth="1"/>
    <col min="7958" max="7958" width="6.5703125" style="4" customWidth="1"/>
    <col min="7959" max="7959" width="8" style="4" customWidth="1"/>
    <col min="7960" max="7960" width="8.140625" style="4" customWidth="1"/>
    <col min="7961" max="7961" width="5.140625" style="4" customWidth="1"/>
    <col min="7962" max="7962" width="6.85546875" style="4" customWidth="1"/>
    <col min="7963" max="7964" width="9.42578125" style="4" customWidth="1"/>
    <col min="7965" max="7965" width="0" style="4" hidden="1" customWidth="1"/>
    <col min="7966" max="7966" width="10.5703125" style="4" customWidth="1"/>
    <col min="7967" max="7969" width="9.140625" style="4"/>
    <col min="7970" max="7970" width="10.7109375" style="4" customWidth="1"/>
    <col min="7971" max="7971" width="9.42578125" style="4" bestFit="1" customWidth="1"/>
    <col min="7972" max="8192" width="9.140625" style="4"/>
    <col min="8193" max="8193" width="5.5703125" style="4" customWidth="1"/>
    <col min="8194" max="8194" width="22.28515625" style="4" customWidth="1"/>
    <col min="8195" max="8195" width="5.7109375" style="4" customWidth="1"/>
    <col min="8196" max="8196" width="6.7109375" style="4" customWidth="1"/>
    <col min="8197" max="8197" width="9.28515625" style="4" customWidth="1"/>
    <col min="8198" max="8198" width="8.7109375" style="4" customWidth="1"/>
    <col min="8199" max="8199" width="8.85546875" style="4" customWidth="1"/>
    <col min="8200" max="8200" width="8.140625" style="4" customWidth="1"/>
    <col min="8201" max="8201" width="7.5703125" style="4" customWidth="1"/>
    <col min="8202" max="8202" width="5.28515625" style="4" customWidth="1"/>
    <col min="8203" max="8203" width="8" style="4" customWidth="1"/>
    <col min="8204" max="8204" width="6.7109375" style="4" customWidth="1"/>
    <col min="8205" max="8205" width="6.85546875" style="4" customWidth="1"/>
    <col min="8206" max="8206" width="8.7109375" style="4" customWidth="1"/>
    <col min="8207" max="8207" width="8" style="4" customWidth="1"/>
    <col min="8208" max="8208" width="6.7109375" style="4" customWidth="1"/>
    <col min="8209" max="8209" width="7.7109375" style="4" customWidth="1"/>
    <col min="8210" max="8210" width="7.28515625" style="4" customWidth="1"/>
    <col min="8211" max="8211" width="10.7109375" style="4" customWidth="1"/>
    <col min="8212" max="8212" width="6.85546875" style="4" customWidth="1"/>
    <col min="8213" max="8213" width="7.7109375" style="4" customWidth="1"/>
    <col min="8214" max="8214" width="6.5703125" style="4" customWidth="1"/>
    <col min="8215" max="8215" width="8" style="4" customWidth="1"/>
    <col min="8216" max="8216" width="8.140625" style="4" customWidth="1"/>
    <col min="8217" max="8217" width="5.140625" style="4" customWidth="1"/>
    <col min="8218" max="8218" width="6.85546875" style="4" customWidth="1"/>
    <col min="8219" max="8220" width="9.42578125" style="4" customWidth="1"/>
    <col min="8221" max="8221" width="0" style="4" hidden="1" customWidth="1"/>
    <col min="8222" max="8222" width="10.5703125" style="4" customWidth="1"/>
    <col min="8223" max="8225" width="9.140625" style="4"/>
    <col min="8226" max="8226" width="10.7109375" style="4" customWidth="1"/>
    <col min="8227" max="8227" width="9.42578125" style="4" bestFit="1" customWidth="1"/>
    <col min="8228" max="8448" width="9.140625" style="4"/>
    <col min="8449" max="8449" width="5.5703125" style="4" customWidth="1"/>
    <col min="8450" max="8450" width="22.28515625" style="4" customWidth="1"/>
    <col min="8451" max="8451" width="5.7109375" style="4" customWidth="1"/>
    <col min="8452" max="8452" width="6.7109375" style="4" customWidth="1"/>
    <col min="8453" max="8453" width="9.28515625" style="4" customWidth="1"/>
    <col min="8454" max="8454" width="8.7109375" style="4" customWidth="1"/>
    <col min="8455" max="8455" width="8.85546875" style="4" customWidth="1"/>
    <col min="8456" max="8456" width="8.140625" style="4" customWidth="1"/>
    <col min="8457" max="8457" width="7.5703125" style="4" customWidth="1"/>
    <col min="8458" max="8458" width="5.28515625" style="4" customWidth="1"/>
    <col min="8459" max="8459" width="8" style="4" customWidth="1"/>
    <col min="8460" max="8460" width="6.7109375" style="4" customWidth="1"/>
    <col min="8461" max="8461" width="6.85546875" style="4" customWidth="1"/>
    <col min="8462" max="8462" width="8.7109375" style="4" customWidth="1"/>
    <col min="8463" max="8463" width="8" style="4" customWidth="1"/>
    <col min="8464" max="8464" width="6.7109375" style="4" customWidth="1"/>
    <col min="8465" max="8465" width="7.7109375" style="4" customWidth="1"/>
    <col min="8466" max="8466" width="7.28515625" style="4" customWidth="1"/>
    <col min="8467" max="8467" width="10.7109375" style="4" customWidth="1"/>
    <col min="8468" max="8468" width="6.85546875" style="4" customWidth="1"/>
    <col min="8469" max="8469" width="7.7109375" style="4" customWidth="1"/>
    <col min="8470" max="8470" width="6.5703125" style="4" customWidth="1"/>
    <col min="8471" max="8471" width="8" style="4" customWidth="1"/>
    <col min="8472" max="8472" width="8.140625" style="4" customWidth="1"/>
    <col min="8473" max="8473" width="5.140625" style="4" customWidth="1"/>
    <col min="8474" max="8474" width="6.85546875" style="4" customWidth="1"/>
    <col min="8475" max="8476" width="9.42578125" style="4" customWidth="1"/>
    <col min="8477" max="8477" width="0" style="4" hidden="1" customWidth="1"/>
    <col min="8478" max="8478" width="10.5703125" style="4" customWidth="1"/>
    <col min="8479" max="8481" width="9.140625" style="4"/>
    <col min="8482" max="8482" width="10.7109375" style="4" customWidth="1"/>
    <col min="8483" max="8483" width="9.42578125" style="4" bestFit="1" customWidth="1"/>
    <col min="8484" max="8704" width="9.140625" style="4"/>
    <col min="8705" max="8705" width="5.5703125" style="4" customWidth="1"/>
    <col min="8706" max="8706" width="22.28515625" style="4" customWidth="1"/>
    <col min="8707" max="8707" width="5.7109375" style="4" customWidth="1"/>
    <col min="8708" max="8708" width="6.7109375" style="4" customWidth="1"/>
    <col min="8709" max="8709" width="9.28515625" style="4" customWidth="1"/>
    <col min="8710" max="8710" width="8.7109375" style="4" customWidth="1"/>
    <col min="8711" max="8711" width="8.85546875" style="4" customWidth="1"/>
    <col min="8712" max="8712" width="8.140625" style="4" customWidth="1"/>
    <col min="8713" max="8713" width="7.5703125" style="4" customWidth="1"/>
    <col min="8714" max="8714" width="5.28515625" style="4" customWidth="1"/>
    <col min="8715" max="8715" width="8" style="4" customWidth="1"/>
    <col min="8716" max="8716" width="6.7109375" style="4" customWidth="1"/>
    <col min="8717" max="8717" width="6.85546875" style="4" customWidth="1"/>
    <col min="8718" max="8718" width="8.7109375" style="4" customWidth="1"/>
    <col min="8719" max="8719" width="8" style="4" customWidth="1"/>
    <col min="8720" max="8720" width="6.7109375" style="4" customWidth="1"/>
    <col min="8721" max="8721" width="7.7109375" style="4" customWidth="1"/>
    <col min="8722" max="8722" width="7.28515625" style="4" customWidth="1"/>
    <col min="8723" max="8723" width="10.7109375" style="4" customWidth="1"/>
    <col min="8724" max="8724" width="6.85546875" style="4" customWidth="1"/>
    <col min="8725" max="8725" width="7.7109375" style="4" customWidth="1"/>
    <col min="8726" max="8726" width="6.5703125" style="4" customWidth="1"/>
    <col min="8727" max="8727" width="8" style="4" customWidth="1"/>
    <col min="8728" max="8728" width="8.140625" style="4" customWidth="1"/>
    <col min="8729" max="8729" width="5.140625" style="4" customWidth="1"/>
    <col min="8730" max="8730" width="6.85546875" style="4" customWidth="1"/>
    <col min="8731" max="8732" width="9.42578125" style="4" customWidth="1"/>
    <col min="8733" max="8733" width="0" style="4" hidden="1" customWidth="1"/>
    <col min="8734" max="8734" width="10.5703125" style="4" customWidth="1"/>
    <col min="8735" max="8737" width="9.140625" style="4"/>
    <col min="8738" max="8738" width="10.7109375" style="4" customWidth="1"/>
    <col min="8739" max="8739" width="9.42578125" style="4" bestFit="1" customWidth="1"/>
    <col min="8740" max="8960" width="9.140625" style="4"/>
    <col min="8961" max="8961" width="5.5703125" style="4" customWidth="1"/>
    <col min="8962" max="8962" width="22.28515625" style="4" customWidth="1"/>
    <col min="8963" max="8963" width="5.7109375" style="4" customWidth="1"/>
    <col min="8964" max="8964" width="6.7109375" style="4" customWidth="1"/>
    <col min="8965" max="8965" width="9.28515625" style="4" customWidth="1"/>
    <col min="8966" max="8966" width="8.7109375" style="4" customWidth="1"/>
    <col min="8967" max="8967" width="8.85546875" style="4" customWidth="1"/>
    <col min="8968" max="8968" width="8.140625" style="4" customWidth="1"/>
    <col min="8969" max="8969" width="7.5703125" style="4" customWidth="1"/>
    <col min="8970" max="8970" width="5.28515625" style="4" customWidth="1"/>
    <col min="8971" max="8971" width="8" style="4" customWidth="1"/>
    <col min="8972" max="8972" width="6.7109375" style="4" customWidth="1"/>
    <col min="8973" max="8973" width="6.85546875" style="4" customWidth="1"/>
    <col min="8974" max="8974" width="8.7109375" style="4" customWidth="1"/>
    <col min="8975" max="8975" width="8" style="4" customWidth="1"/>
    <col min="8976" max="8976" width="6.7109375" style="4" customWidth="1"/>
    <col min="8977" max="8977" width="7.7109375" style="4" customWidth="1"/>
    <col min="8978" max="8978" width="7.28515625" style="4" customWidth="1"/>
    <col min="8979" max="8979" width="10.7109375" style="4" customWidth="1"/>
    <col min="8980" max="8980" width="6.85546875" style="4" customWidth="1"/>
    <col min="8981" max="8981" width="7.7109375" style="4" customWidth="1"/>
    <col min="8982" max="8982" width="6.5703125" style="4" customWidth="1"/>
    <col min="8983" max="8983" width="8" style="4" customWidth="1"/>
    <col min="8984" max="8984" width="8.140625" style="4" customWidth="1"/>
    <col min="8985" max="8985" width="5.140625" style="4" customWidth="1"/>
    <col min="8986" max="8986" width="6.85546875" style="4" customWidth="1"/>
    <col min="8987" max="8988" width="9.42578125" style="4" customWidth="1"/>
    <col min="8989" max="8989" width="0" style="4" hidden="1" customWidth="1"/>
    <col min="8990" max="8990" width="10.5703125" style="4" customWidth="1"/>
    <col min="8991" max="8993" width="9.140625" style="4"/>
    <col min="8994" max="8994" width="10.7109375" style="4" customWidth="1"/>
    <col min="8995" max="8995" width="9.42578125" style="4" bestFit="1" customWidth="1"/>
    <col min="8996" max="9216" width="9.140625" style="4"/>
    <col min="9217" max="9217" width="5.5703125" style="4" customWidth="1"/>
    <col min="9218" max="9218" width="22.28515625" style="4" customWidth="1"/>
    <col min="9219" max="9219" width="5.7109375" style="4" customWidth="1"/>
    <col min="9220" max="9220" width="6.7109375" style="4" customWidth="1"/>
    <col min="9221" max="9221" width="9.28515625" style="4" customWidth="1"/>
    <col min="9222" max="9222" width="8.7109375" style="4" customWidth="1"/>
    <col min="9223" max="9223" width="8.85546875" style="4" customWidth="1"/>
    <col min="9224" max="9224" width="8.140625" style="4" customWidth="1"/>
    <col min="9225" max="9225" width="7.5703125" style="4" customWidth="1"/>
    <col min="9226" max="9226" width="5.28515625" style="4" customWidth="1"/>
    <col min="9227" max="9227" width="8" style="4" customWidth="1"/>
    <col min="9228" max="9228" width="6.7109375" style="4" customWidth="1"/>
    <col min="9229" max="9229" width="6.85546875" style="4" customWidth="1"/>
    <col min="9230" max="9230" width="8.7109375" style="4" customWidth="1"/>
    <col min="9231" max="9231" width="8" style="4" customWidth="1"/>
    <col min="9232" max="9232" width="6.7109375" style="4" customWidth="1"/>
    <col min="9233" max="9233" width="7.7109375" style="4" customWidth="1"/>
    <col min="9234" max="9234" width="7.28515625" style="4" customWidth="1"/>
    <col min="9235" max="9235" width="10.7109375" style="4" customWidth="1"/>
    <col min="9236" max="9236" width="6.85546875" style="4" customWidth="1"/>
    <col min="9237" max="9237" width="7.7109375" style="4" customWidth="1"/>
    <col min="9238" max="9238" width="6.5703125" style="4" customWidth="1"/>
    <col min="9239" max="9239" width="8" style="4" customWidth="1"/>
    <col min="9240" max="9240" width="8.140625" style="4" customWidth="1"/>
    <col min="9241" max="9241" width="5.140625" style="4" customWidth="1"/>
    <col min="9242" max="9242" width="6.85546875" style="4" customWidth="1"/>
    <col min="9243" max="9244" width="9.42578125" style="4" customWidth="1"/>
    <col min="9245" max="9245" width="0" style="4" hidden="1" customWidth="1"/>
    <col min="9246" max="9246" width="10.5703125" style="4" customWidth="1"/>
    <col min="9247" max="9249" width="9.140625" style="4"/>
    <col min="9250" max="9250" width="10.7109375" style="4" customWidth="1"/>
    <col min="9251" max="9251" width="9.42578125" style="4" bestFit="1" customWidth="1"/>
    <col min="9252" max="9472" width="9.140625" style="4"/>
    <col min="9473" max="9473" width="5.5703125" style="4" customWidth="1"/>
    <col min="9474" max="9474" width="22.28515625" style="4" customWidth="1"/>
    <col min="9475" max="9475" width="5.7109375" style="4" customWidth="1"/>
    <col min="9476" max="9476" width="6.7109375" style="4" customWidth="1"/>
    <col min="9477" max="9477" width="9.28515625" style="4" customWidth="1"/>
    <col min="9478" max="9478" width="8.7109375" style="4" customWidth="1"/>
    <col min="9479" max="9479" width="8.85546875" style="4" customWidth="1"/>
    <col min="9480" max="9480" width="8.140625" style="4" customWidth="1"/>
    <col min="9481" max="9481" width="7.5703125" style="4" customWidth="1"/>
    <col min="9482" max="9482" width="5.28515625" style="4" customWidth="1"/>
    <col min="9483" max="9483" width="8" style="4" customWidth="1"/>
    <col min="9484" max="9484" width="6.7109375" style="4" customWidth="1"/>
    <col min="9485" max="9485" width="6.85546875" style="4" customWidth="1"/>
    <col min="9486" max="9486" width="8.7109375" style="4" customWidth="1"/>
    <col min="9487" max="9487" width="8" style="4" customWidth="1"/>
    <col min="9488" max="9488" width="6.7109375" style="4" customWidth="1"/>
    <col min="9489" max="9489" width="7.7109375" style="4" customWidth="1"/>
    <col min="9490" max="9490" width="7.28515625" style="4" customWidth="1"/>
    <col min="9491" max="9491" width="10.7109375" style="4" customWidth="1"/>
    <col min="9492" max="9492" width="6.85546875" style="4" customWidth="1"/>
    <col min="9493" max="9493" width="7.7109375" style="4" customWidth="1"/>
    <col min="9494" max="9494" width="6.5703125" style="4" customWidth="1"/>
    <col min="9495" max="9495" width="8" style="4" customWidth="1"/>
    <col min="9496" max="9496" width="8.140625" style="4" customWidth="1"/>
    <col min="9497" max="9497" width="5.140625" style="4" customWidth="1"/>
    <col min="9498" max="9498" width="6.85546875" style="4" customWidth="1"/>
    <col min="9499" max="9500" width="9.42578125" style="4" customWidth="1"/>
    <col min="9501" max="9501" width="0" style="4" hidden="1" customWidth="1"/>
    <col min="9502" max="9502" width="10.5703125" style="4" customWidth="1"/>
    <col min="9503" max="9505" width="9.140625" style="4"/>
    <col min="9506" max="9506" width="10.7109375" style="4" customWidth="1"/>
    <col min="9507" max="9507" width="9.42578125" style="4" bestFit="1" customWidth="1"/>
    <col min="9508" max="9728" width="9.140625" style="4"/>
    <col min="9729" max="9729" width="5.5703125" style="4" customWidth="1"/>
    <col min="9730" max="9730" width="22.28515625" style="4" customWidth="1"/>
    <col min="9731" max="9731" width="5.7109375" style="4" customWidth="1"/>
    <col min="9732" max="9732" width="6.7109375" style="4" customWidth="1"/>
    <col min="9733" max="9733" width="9.28515625" style="4" customWidth="1"/>
    <col min="9734" max="9734" width="8.7109375" style="4" customWidth="1"/>
    <col min="9735" max="9735" width="8.85546875" style="4" customWidth="1"/>
    <col min="9736" max="9736" width="8.140625" style="4" customWidth="1"/>
    <col min="9737" max="9737" width="7.5703125" style="4" customWidth="1"/>
    <col min="9738" max="9738" width="5.28515625" style="4" customWidth="1"/>
    <col min="9739" max="9739" width="8" style="4" customWidth="1"/>
    <col min="9740" max="9740" width="6.7109375" style="4" customWidth="1"/>
    <col min="9741" max="9741" width="6.85546875" style="4" customWidth="1"/>
    <col min="9742" max="9742" width="8.7109375" style="4" customWidth="1"/>
    <col min="9743" max="9743" width="8" style="4" customWidth="1"/>
    <col min="9744" max="9744" width="6.7109375" style="4" customWidth="1"/>
    <col min="9745" max="9745" width="7.7109375" style="4" customWidth="1"/>
    <col min="9746" max="9746" width="7.28515625" style="4" customWidth="1"/>
    <col min="9747" max="9747" width="10.7109375" style="4" customWidth="1"/>
    <col min="9748" max="9748" width="6.85546875" style="4" customWidth="1"/>
    <col min="9749" max="9749" width="7.7109375" style="4" customWidth="1"/>
    <col min="9750" max="9750" width="6.5703125" style="4" customWidth="1"/>
    <col min="9751" max="9751" width="8" style="4" customWidth="1"/>
    <col min="9752" max="9752" width="8.140625" style="4" customWidth="1"/>
    <col min="9753" max="9753" width="5.140625" style="4" customWidth="1"/>
    <col min="9754" max="9754" width="6.85546875" style="4" customWidth="1"/>
    <col min="9755" max="9756" width="9.42578125" style="4" customWidth="1"/>
    <col min="9757" max="9757" width="0" style="4" hidden="1" customWidth="1"/>
    <col min="9758" max="9758" width="10.5703125" style="4" customWidth="1"/>
    <col min="9759" max="9761" width="9.140625" style="4"/>
    <col min="9762" max="9762" width="10.7109375" style="4" customWidth="1"/>
    <col min="9763" max="9763" width="9.42578125" style="4" bestFit="1" customWidth="1"/>
    <col min="9764" max="9984" width="9.140625" style="4"/>
    <col min="9985" max="9985" width="5.5703125" style="4" customWidth="1"/>
    <col min="9986" max="9986" width="22.28515625" style="4" customWidth="1"/>
    <col min="9987" max="9987" width="5.7109375" style="4" customWidth="1"/>
    <col min="9988" max="9988" width="6.7109375" style="4" customWidth="1"/>
    <col min="9989" max="9989" width="9.28515625" style="4" customWidth="1"/>
    <col min="9990" max="9990" width="8.7109375" style="4" customWidth="1"/>
    <col min="9991" max="9991" width="8.85546875" style="4" customWidth="1"/>
    <col min="9992" max="9992" width="8.140625" style="4" customWidth="1"/>
    <col min="9993" max="9993" width="7.5703125" style="4" customWidth="1"/>
    <col min="9994" max="9994" width="5.28515625" style="4" customWidth="1"/>
    <col min="9995" max="9995" width="8" style="4" customWidth="1"/>
    <col min="9996" max="9996" width="6.7109375" style="4" customWidth="1"/>
    <col min="9997" max="9997" width="6.85546875" style="4" customWidth="1"/>
    <col min="9998" max="9998" width="8.7109375" style="4" customWidth="1"/>
    <col min="9999" max="9999" width="8" style="4" customWidth="1"/>
    <col min="10000" max="10000" width="6.7109375" style="4" customWidth="1"/>
    <col min="10001" max="10001" width="7.7109375" style="4" customWidth="1"/>
    <col min="10002" max="10002" width="7.28515625" style="4" customWidth="1"/>
    <col min="10003" max="10003" width="10.7109375" style="4" customWidth="1"/>
    <col min="10004" max="10004" width="6.85546875" style="4" customWidth="1"/>
    <col min="10005" max="10005" width="7.7109375" style="4" customWidth="1"/>
    <col min="10006" max="10006" width="6.5703125" style="4" customWidth="1"/>
    <col min="10007" max="10007" width="8" style="4" customWidth="1"/>
    <col min="10008" max="10008" width="8.140625" style="4" customWidth="1"/>
    <col min="10009" max="10009" width="5.140625" style="4" customWidth="1"/>
    <col min="10010" max="10010" width="6.85546875" style="4" customWidth="1"/>
    <col min="10011" max="10012" width="9.42578125" style="4" customWidth="1"/>
    <col min="10013" max="10013" width="0" style="4" hidden="1" customWidth="1"/>
    <col min="10014" max="10014" width="10.5703125" style="4" customWidth="1"/>
    <col min="10015" max="10017" width="9.140625" style="4"/>
    <col min="10018" max="10018" width="10.7109375" style="4" customWidth="1"/>
    <col min="10019" max="10019" width="9.42578125" style="4" bestFit="1" customWidth="1"/>
    <col min="10020" max="10240" width="9.140625" style="4"/>
    <col min="10241" max="10241" width="5.5703125" style="4" customWidth="1"/>
    <col min="10242" max="10242" width="22.28515625" style="4" customWidth="1"/>
    <col min="10243" max="10243" width="5.7109375" style="4" customWidth="1"/>
    <col min="10244" max="10244" width="6.7109375" style="4" customWidth="1"/>
    <col min="10245" max="10245" width="9.28515625" style="4" customWidth="1"/>
    <col min="10246" max="10246" width="8.7109375" style="4" customWidth="1"/>
    <col min="10247" max="10247" width="8.85546875" style="4" customWidth="1"/>
    <col min="10248" max="10248" width="8.140625" style="4" customWidth="1"/>
    <col min="10249" max="10249" width="7.5703125" style="4" customWidth="1"/>
    <col min="10250" max="10250" width="5.28515625" style="4" customWidth="1"/>
    <col min="10251" max="10251" width="8" style="4" customWidth="1"/>
    <col min="10252" max="10252" width="6.7109375" style="4" customWidth="1"/>
    <col min="10253" max="10253" width="6.85546875" style="4" customWidth="1"/>
    <col min="10254" max="10254" width="8.7109375" style="4" customWidth="1"/>
    <col min="10255" max="10255" width="8" style="4" customWidth="1"/>
    <col min="10256" max="10256" width="6.7109375" style="4" customWidth="1"/>
    <col min="10257" max="10257" width="7.7109375" style="4" customWidth="1"/>
    <col min="10258" max="10258" width="7.28515625" style="4" customWidth="1"/>
    <col min="10259" max="10259" width="10.7109375" style="4" customWidth="1"/>
    <col min="10260" max="10260" width="6.85546875" style="4" customWidth="1"/>
    <col min="10261" max="10261" width="7.7109375" style="4" customWidth="1"/>
    <col min="10262" max="10262" width="6.5703125" style="4" customWidth="1"/>
    <col min="10263" max="10263" width="8" style="4" customWidth="1"/>
    <col min="10264" max="10264" width="8.140625" style="4" customWidth="1"/>
    <col min="10265" max="10265" width="5.140625" style="4" customWidth="1"/>
    <col min="10266" max="10266" width="6.85546875" style="4" customWidth="1"/>
    <col min="10267" max="10268" width="9.42578125" style="4" customWidth="1"/>
    <col min="10269" max="10269" width="0" style="4" hidden="1" customWidth="1"/>
    <col min="10270" max="10270" width="10.5703125" style="4" customWidth="1"/>
    <col min="10271" max="10273" width="9.140625" style="4"/>
    <col min="10274" max="10274" width="10.7109375" style="4" customWidth="1"/>
    <col min="10275" max="10275" width="9.42578125" style="4" bestFit="1" customWidth="1"/>
    <col min="10276" max="10496" width="9.140625" style="4"/>
    <col min="10497" max="10497" width="5.5703125" style="4" customWidth="1"/>
    <col min="10498" max="10498" width="22.28515625" style="4" customWidth="1"/>
    <col min="10499" max="10499" width="5.7109375" style="4" customWidth="1"/>
    <col min="10500" max="10500" width="6.7109375" style="4" customWidth="1"/>
    <col min="10501" max="10501" width="9.28515625" style="4" customWidth="1"/>
    <col min="10502" max="10502" width="8.7109375" style="4" customWidth="1"/>
    <col min="10503" max="10503" width="8.85546875" style="4" customWidth="1"/>
    <col min="10504" max="10504" width="8.140625" style="4" customWidth="1"/>
    <col min="10505" max="10505" width="7.5703125" style="4" customWidth="1"/>
    <col min="10506" max="10506" width="5.28515625" style="4" customWidth="1"/>
    <col min="10507" max="10507" width="8" style="4" customWidth="1"/>
    <col min="10508" max="10508" width="6.7109375" style="4" customWidth="1"/>
    <col min="10509" max="10509" width="6.85546875" style="4" customWidth="1"/>
    <col min="10510" max="10510" width="8.7109375" style="4" customWidth="1"/>
    <col min="10511" max="10511" width="8" style="4" customWidth="1"/>
    <col min="10512" max="10512" width="6.7109375" style="4" customWidth="1"/>
    <col min="10513" max="10513" width="7.7109375" style="4" customWidth="1"/>
    <col min="10514" max="10514" width="7.28515625" style="4" customWidth="1"/>
    <col min="10515" max="10515" width="10.7109375" style="4" customWidth="1"/>
    <col min="10516" max="10516" width="6.85546875" style="4" customWidth="1"/>
    <col min="10517" max="10517" width="7.7109375" style="4" customWidth="1"/>
    <col min="10518" max="10518" width="6.5703125" style="4" customWidth="1"/>
    <col min="10519" max="10519" width="8" style="4" customWidth="1"/>
    <col min="10520" max="10520" width="8.140625" style="4" customWidth="1"/>
    <col min="10521" max="10521" width="5.140625" style="4" customWidth="1"/>
    <col min="10522" max="10522" width="6.85546875" style="4" customWidth="1"/>
    <col min="10523" max="10524" width="9.42578125" style="4" customWidth="1"/>
    <col min="10525" max="10525" width="0" style="4" hidden="1" customWidth="1"/>
    <col min="10526" max="10526" width="10.5703125" style="4" customWidth="1"/>
    <col min="10527" max="10529" width="9.140625" style="4"/>
    <col min="10530" max="10530" width="10.7109375" style="4" customWidth="1"/>
    <col min="10531" max="10531" width="9.42578125" style="4" bestFit="1" customWidth="1"/>
    <col min="10532" max="10752" width="9.140625" style="4"/>
    <col min="10753" max="10753" width="5.5703125" style="4" customWidth="1"/>
    <col min="10754" max="10754" width="22.28515625" style="4" customWidth="1"/>
    <col min="10755" max="10755" width="5.7109375" style="4" customWidth="1"/>
    <col min="10756" max="10756" width="6.7109375" style="4" customWidth="1"/>
    <col min="10757" max="10757" width="9.28515625" style="4" customWidth="1"/>
    <col min="10758" max="10758" width="8.7109375" style="4" customWidth="1"/>
    <col min="10759" max="10759" width="8.85546875" style="4" customWidth="1"/>
    <col min="10760" max="10760" width="8.140625" style="4" customWidth="1"/>
    <col min="10761" max="10761" width="7.5703125" style="4" customWidth="1"/>
    <col min="10762" max="10762" width="5.28515625" style="4" customWidth="1"/>
    <col min="10763" max="10763" width="8" style="4" customWidth="1"/>
    <col min="10764" max="10764" width="6.7109375" style="4" customWidth="1"/>
    <col min="10765" max="10765" width="6.85546875" style="4" customWidth="1"/>
    <col min="10766" max="10766" width="8.7109375" style="4" customWidth="1"/>
    <col min="10767" max="10767" width="8" style="4" customWidth="1"/>
    <col min="10768" max="10768" width="6.7109375" style="4" customWidth="1"/>
    <col min="10769" max="10769" width="7.7109375" style="4" customWidth="1"/>
    <col min="10770" max="10770" width="7.28515625" style="4" customWidth="1"/>
    <col min="10771" max="10771" width="10.7109375" style="4" customWidth="1"/>
    <col min="10772" max="10772" width="6.85546875" style="4" customWidth="1"/>
    <col min="10773" max="10773" width="7.7109375" style="4" customWidth="1"/>
    <col min="10774" max="10774" width="6.5703125" style="4" customWidth="1"/>
    <col min="10775" max="10775" width="8" style="4" customWidth="1"/>
    <col min="10776" max="10776" width="8.140625" style="4" customWidth="1"/>
    <col min="10777" max="10777" width="5.140625" style="4" customWidth="1"/>
    <col min="10778" max="10778" width="6.85546875" style="4" customWidth="1"/>
    <col min="10779" max="10780" width="9.42578125" style="4" customWidth="1"/>
    <col min="10781" max="10781" width="0" style="4" hidden="1" customWidth="1"/>
    <col min="10782" max="10782" width="10.5703125" style="4" customWidth="1"/>
    <col min="10783" max="10785" width="9.140625" style="4"/>
    <col min="10786" max="10786" width="10.7109375" style="4" customWidth="1"/>
    <col min="10787" max="10787" width="9.42578125" style="4" bestFit="1" customWidth="1"/>
    <col min="10788" max="11008" width="9.140625" style="4"/>
    <col min="11009" max="11009" width="5.5703125" style="4" customWidth="1"/>
    <col min="11010" max="11010" width="22.28515625" style="4" customWidth="1"/>
    <col min="11011" max="11011" width="5.7109375" style="4" customWidth="1"/>
    <col min="11012" max="11012" width="6.7109375" style="4" customWidth="1"/>
    <col min="11013" max="11013" width="9.28515625" style="4" customWidth="1"/>
    <col min="11014" max="11014" width="8.7109375" style="4" customWidth="1"/>
    <col min="11015" max="11015" width="8.85546875" style="4" customWidth="1"/>
    <col min="11016" max="11016" width="8.140625" style="4" customWidth="1"/>
    <col min="11017" max="11017" width="7.5703125" style="4" customWidth="1"/>
    <col min="11018" max="11018" width="5.28515625" style="4" customWidth="1"/>
    <col min="11019" max="11019" width="8" style="4" customWidth="1"/>
    <col min="11020" max="11020" width="6.7109375" style="4" customWidth="1"/>
    <col min="11021" max="11021" width="6.85546875" style="4" customWidth="1"/>
    <col min="11022" max="11022" width="8.7109375" style="4" customWidth="1"/>
    <col min="11023" max="11023" width="8" style="4" customWidth="1"/>
    <col min="11024" max="11024" width="6.7109375" style="4" customWidth="1"/>
    <col min="11025" max="11025" width="7.7109375" style="4" customWidth="1"/>
    <col min="11026" max="11026" width="7.28515625" style="4" customWidth="1"/>
    <col min="11027" max="11027" width="10.7109375" style="4" customWidth="1"/>
    <col min="11028" max="11028" width="6.85546875" style="4" customWidth="1"/>
    <col min="11029" max="11029" width="7.7109375" style="4" customWidth="1"/>
    <col min="11030" max="11030" width="6.5703125" style="4" customWidth="1"/>
    <col min="11031" max="11031" width="8" style="4" customWidth="1"/>
    <col min="11032" max="11032" width="8.140625" style="4" customWidth="1"/>
    <col min="11033" max="11033" width="5.140625" style="4" customWidth="1"/>
    <col min="11034" max="11034" width="6.85546875" style="4" customWidth="1"/>
    <col min="11035" max="11036" width="9.42578125" style="4" customWidth="1"/>
    <col min="11037" max="11037" width="0" style="4" hidden="1" customWidth="1"/>
    <col min="11038" max="11038" width="10.5703125" style="4" customWidth="1"/>
    <col min="11039" max="11041" width="9.140625" style="4"/>
    <col min="11042" max="11042" width="10.7109375" style="4" customWidth="1"/>
    <col min="11043" max="11043" width="9.42578125" style="4" bestFit="1" customWidth="1"/>
    <col min="11044" max="11264" width="9.140625" style="4"/>
    <col min="11265" max="11265" width="5.5703125" style="4" customWidth="1"/>
    <col min="11266" max="11266" width="22.28515625" style="4" customWidth="1"/>
    <col min="11267" max="11267" width="5.7109375" style="4" customWidth="1"/>
    <col min="11268" max="11268" width="6.7109375" style="4" customWidth="1"/>
    <col min="11269" max="11269" width="9.28515625" style="4" customWidth="1"/>
    <col min="11270" max="11270" width="8.7109375" style="4" customWidth="1"/>
    <col min="11271" max="11271" width="8.85546875" style="4" customWidth="1"/>
    <col min="11272" max="11272" width="8.140625" style="4" customWidth="1"/>
    <col min="11273" max="11273" width="7.5703125" style="4" customWidth="1"/>
    <col min="11274" max="11274" width="5.28515625" style="4" customWidth="1"/>
    <col min="11275" max="11275" width="8" style="4" customWidth="1"/>
    <col min="11276" max="11276" width="6.7109375" style="4" customWidth="1"/>
    <col min="11277" max="11277" width="6.85546875" style="4" customWidth="1"/>
    <col min="11278" max="11278" width="8.7109375" style="4" customWidth="1"/>
    <col min="11279" max="11279" width="8" style="4" customWidth="1"/>
    <col min="11280" max="11280" width="6.7109375" style="4" customWidth="1"/>
    <col min="11281" max="11281" width="7.7109375" style="4" customWidth="1"/>
    <col min="11282" max="11282" width="7.28515625" style="4" customWidth="1"/>
    <col min="11283" max="11283" width="10.7109375" style="4" customWidth="1"/>
    <col min="11284" max="11284" width="6.85546875" style="4" customWidth="1"/>
    <col min="11285" max="11285" width="7.7109375" style="4" customWidth="1"/>
    <col min="11286" max="11286" width="6.5703125" style="4" customWidth="1"/>
    <col min="11287" max="11287" width="8" style="4" customWidth="1"/>
    <col min="11288" max="11288" width="8.140625" style="4" customWidth="1"/>
    <col min="11289" max="11289" width="5.140625" style="4" customWidth="1"/>
    <col min="11290" max="11290" width="6.85546875" style="4" customWidth="1"/>
    <col min="11291" max="11292" width="9.42578125" style="4" customWidth="1"/>
    <col min="11293" max="11293" width="0" style="4" hidden="1" customWidth="1"/>
    <col min="11294" max="11294" width="10.5703125" style="4" customWidth="1"/>
    <col min="11295" max="11297" width="9.140625" style="4"/>
    <col min="11298" max="11298" width="10.7109375" style="4" customWidth="1"/>
    <col min="11299" max="11299" width="9.42578125" style="4" bestFit="1" customWidth="1"/>
    <col min="11300" max="11520" width="9.140625" style="4"/>
    <col min="11521" max="11521" width="5.5703125" style="4" customWidth="1"/>
    <col min="11522" max="11522" width="22.28515625" style="4" customWidth="1"/>
    <col min="11523" max="11523" width="5.7109375" style="4" customWidth="1"/>
    <col min="11524" max="11524" width="6.7109375" style="4" customWidth="1"/>
    <col min="11525" max="11525" width="9.28515625" style="4" customWidth="1"/>
    <col min="11526" max="11526" width="8.7109375" style="4" customWidth="1"/>
    <col min="11527" max="11527" width="8.85546875" style="4" customWidth="1"/>
    <col min="11528" max="11528" width="8.140625" style="4" customWidth="1"/>
    <col min="11529" max="11529" width="7.5703125" style="4" customWidth="1"/>
    <col min="11530" max="11530" width="5.28515625" style="4" customWidth="1"/>
    <col min="11531" max="11531" width="8" style="4" customWidth="1"/>
    <col min="11532" max="11532" width="6.7109375" style="4" customWidth="1"/>
    <col min="11533" max="11533" width="6.85546875" style="4" customWidth="1"/>
    <col min="11534" max="11534" width="8.7109375" style="4" customWidth="1"/>
    <col min="11535" max="11535" width="8" style="4" customWidth="1"/>
    <col min="11536" max="11536" width="6.7109375" style="4" customWidth="1"/>
    <col min="11537" max="11537" width="7.7109375" style="4" customWidth="1"/>
    <col min="11538" max="11538" width="7.28515625" style="4" customWidth="1"/>
    <col min="11539" max="11539" width="10.7109375" style="4" customWidth="1"/>
    <col min="11540" max="11540" width="6.85546875" style="4" customWidth="1"/>
    <col min="11541" max="11541" width="7.7109375" style="4" customWidth="1"/>
    <col min="11542" max="11542" width="6.5703125" style="4" customWidth="1"/>
    <col min="11543" max="11543" width="8" style="4" customWidth="1"/>
    <col min="11544" max="11544" width="8.140625" style="4" customWidth="1"/>
    <col min="11545" max="11545" width="5.140625" style="4" customWidth="1"/>
    <col min="11546" max="11546" width="6.85546875" style="4" customWidth="1"/>
    <col min="11547" max="11548" width="9.42578125" style="4" customWidth="1"/>
    <col min="11549" max="11549" width="0" style="4" hidden="1" customWidth="1"/>
    <col min="11550" max="11550" width="10.5703125" style="4" customWidth="1"/>
    <col min="11551" max="11553" width="9.140625" style="4"/>
    <col min="11554" max="11554" width="10.7109375" style="4" customWidth="1"/>
    <col min="11555" max="11555" width="9.42578125" style="4" bestFit="1" customWidth="1"/>
    <col min="11556" max="11776" width="9.140625" style="4"/>
    <col min="11777" max="11777" width="5.5703125" style="4" customWidth="1"/>
    <col min="11778" max="11778" width="22.28515625" style="4" customWidth="1"/>
    <col min="11779" max="11779" width="5.7109375" style="4" customWidth="1"/>
    <col min="11780" max="11780" width="6.7109375" style="4" customWidth="1"/>
    <col min="11781" max="11781" width="9.28515625" style="4" customWidth="1"/>
    <col min="11782" max="11782" width="8.7109375" style="4" customWidth="1"/>
    <col min="11783" max="11783" width="8.85546875" style="4" customWidth="1"/>
    <col min="11784" max="11784" width="8.140625" style="4" customWidth="1"/>
    <col min="11785" max="11785" width="7.5703125" style="4" customWidth="1"/>
    <col min="11786" max="11786" width="5.28515625" style="4" customWidth="1"/>
    <col min="11787" max="11787" width="8" style="4" customWidth="1"/>
    <col min="11788" max="11788" width="6.7109375" style="4" customWidth="1"/>
    <col min="11789" max="11789" width="6.85546875" style="4" customWidth="1"/>
    <col min="11790" max="11790" width="8.7109375" style="4" customWidth="1"/>
    <col min="11791" max="11791" width="8" style="4" customWidth="1"/>
    <col min="11792" max="11792" width="6.7109375" style="4" customWidth="1"/>
    <col min="11793" max="11793" width="7.7109375" style="4" customWidth="1"/>
    <col min="11794" max="11794" width="7.28515625" style="4" customWidth="1"/>
    <col min="11795" max="11795" width="10.7109375" style="4" customWidth="1"/>
    <col min="11796" max="11796" width="6.85546875" style="4" customWidth="1"/>
    <col min="11797" max="11797" width="7.7109375" style="4" customWidth="1"/>
    <col min="11798" max="11798" width="6.5703125" style="4" customWidth="1"/>
    <col min="11799" max="11799" width="8" style="4" customWidth="1"/>
    <col min="11800" max="11800" width="8.140625" style="4" customWidth="1"/>
    <col min="11801" max="11801" width="5.140625" style="4" customWidth="1"/>
    <col min="11802" max="11802" width="6.85546875" style="4" customWidth="1"/>
    <col min="11803" max="11804" width="9.42578125" style="4" customWidth="1"/>
    <col min="11805" max="11805" width="0" style="4" hidden="1" customWidth="1"/>
    <col min="11806" max="11806" width="10.5703125" style="4" customWidth="1"/>
    <col min="11807" max="11809" width="9.140625" style="4"/>
    <col min="11810" max="11810" width="10.7109375" style="4" customWidth="1"/>
    <col min="11811" max="11811" width="9.42578125" style="4" bestFit="1" customWidth="1"/>
    <col min="11812" max="12032" width="9.140625" style="4"/>
    <col min="12033" max="12033" width="5.5703125" style="4" customWidth="1"/>
    <col min="12034" max="12034" width="22.28515625" style="4" customWidth="1"/>
    <col min="12035" max="12035" width="5.7109375" style="4" customWidth="1"/>
    <col min="12036" max="12036" width="6.7109375" style="4" customWidth="1"/>
    <col min="12037" max="12037" width="9.28515625" style="4" customWidth="1"/>
    <col min="12038" max="12038" width="8.7109375" style="4" customWidth="1"/>
    <col min="12039" max="12039" width="8.85546875" style="4" customWidth="1"/>
    <col min="12040" max="12040" width="8.140625" style="4" customWidth="1"/>
    <col min="12041" max="12041" width="7.5703125" style="4" customWidth="1"/>
    <col min="12042" max="12042" width="5.28515625" style="4" customWidth="1"/>
    <col min="12043" max="12043" width="8" style="4" customWidth="1"/>
    <col min="12044" max="12044" width="6.7109375" style="4" customWidth="1"/>
    <col min="12045" max="12045" width="6.85546875" style="4" customWidth="1"/>
    <col min="12046" max="12046" width="8.7109375" style="4" customWidth="1"/>
    <col min="12047" max="12047" width="8" style="4" customWidth="1"/>
    <col min="12048" max="12048" width="6.7109375" style="4" customWidth="1"/>
    <col min="12049" max="12049" width="7.7109375" style="4" customWidth="1"/>
    <col min="12050" max="12050" width="7.28515625" style="4" customWidth="1"/>
    <col min="12051" max="12051" width="10.7109375" style="4" customWidth="1"/>
    <col min="12052" max="12052" width="6.85546875" style="4" customWidth="1"/>
    <col min="12053" max="12053" width="7.7109375" style="4" customWidth="1"/>
    <col min="12054" max="12054" width="6.5703125" style="4" customWidth="1"/>
    <col min="12055" max="12055" width="8" style="4" customWidth="1"/>
    <col min="12056" max="12056" width="8.140625" style="4" customWidth="1"/>
    <col min="12057" max="12057" width="5.140625" style="4" customWidth="1"/>
    <col min="12058" max="12058" width="6.85546875" style="4" customWidth="1"/>
    <col min="12059" max="12060" width="9.42578125" style="4" customWidth="1"/>
    <col min="12061" max="12061" width="0" style="4" hidden="1" customWidth="1"/>
    <col min="12062" max="12062" width="10.5703125" style="4" customWidth="1"/>
    <col min="12063" max="12065" width="9.140625" style="4"/>
    <col min="12066" max="12066" width="10.7109375" style="4" customWidth="1"/>
    <col min="12067" max="12067" width="9.42578125" style="4" bestFit="1" customWidth="1"/>
    <col min="12068" max="12288" width="9.140625" style="4"/>
    <col min="12289" max="12289" width="5.5703125" style="4" customWidth="1"/>
    <col min="12290" max="12290" width="22.28515625" style="4" customWidth="1"/>
    <col min="12291" max="12291" width="5.7109375" style="4" customWidth="1"/>
    <col min="12292" max="12292" width="6.7109375" style="4" customWidth="1"/>
    <col min="12293" max="12293" width="9.28515625" style="4" customWidth="1"/>
    <col min="12294" max="12294" width="8.7109375" style="4" customWidth="1"/>
    <col min="12295" max="12295" width="8.85546875" style="4" customWidth="1"/>
    <col min="12296" max="12296" width="8.140625" style="4" customWidth="1"/>
    <col min="12297" max="12297" width="7.5703125" style="4" customWidth="1"/>
    <col min="12298" max="12298" width="5.28515625" style="4" customWidth="1"/>
    <col min="12299" max="12299" width="8" style="4" customWidth="1"/>
    <col min="12300" max="12300" width="6.7109375" style="4" customWidth="1"/>
    <col min="12301" max="12301" width="6.85546875" style="4" customWidth="1"/>
    <col min="12302" max="12302" width="8.7109375" style="4" customWidth="1"/>
    <col min="12303" max="12303" width="8" style="4" customWidth="1"/>
    <col min="12304" max="12304" width="6.7109375" style="4" customWidth="1"/>
    <col min="12305" max="12305" width="7.7109375" style="4" customWidth="1"/>
    <col min="12306" max="12306" width="7.28515625" style="4" customWidth="1"/>
    <col min="12307" max="12307" width="10.7109375" style="4" customWidth="1"/>
    <col min="12308" max="12308" width="6.85546875" style="4" customWidth="1"/>
    <col min="12309" max="12309" width="7.7109375" style="4" customWidth="1"/>
    <col min="12310" max="12310" width="6.5703125" style="4" customWidth="1"/>
    <col min="12311" max="12311" width="8" style="4" customWidth="1"/>
    <col min="12312" max="12312" width="8.140625" style="4" customWidth="1"/>
    <col min="12313" max="12313" width="5.140625" style="4" customWidth="1"/>
    <col min="12314" max="12314" width="6.85546875" style="4" customWidth="1"/>
    <col min="12315" max="12316" width="9.42578125" style="4" customWidth="1"/>
    <col min="12317" max="12317" width="0" style="4" hidden="1" customWidth="1"/>
    <col min="12318" max="12318" width="10.5703125" style="4" customWidth="1"/>
    <col min="12319" max="12321" width="9.140625" style="4"/>
    <col min="12322" max="12322" width="10.7109375" style="4" customWidth="1"/>
    <col min="12323" max="12323" width="9.42578125" style="4" bestFit="1" customWidth="1"/>
    <col min="12324" max="12544" width="9.140625" style="4"/>
    <col min="12545" max="12545" width="5.5703125" style="4" customWidth="1"/>
    <col min="12546" max="12546" width="22.28515625" style="4" customWidth="1"/>
    <col min="12547" max="12547" width="5.7109375" style="4" customWidth="1"/>
    <col min="12548" max="12548" width="6.7109375" style="4" customWidth="1"/>
    <col min="12549" max="12549" width="9.28515625" style="4" customWidth="1"/>
    <col min="12550" max="12550" width="8.7109375" style="4" customWidth="1"/>
    <col min="12551" max="12551" width="8.85546875" style="4" customWidth="1"/>
    <col min="12552" max="12552" width="8.140625" style="4" customWidth="1"/>
    <col min="12553" max="12553" width="7.5703125" style="4" customWidth="1"/>
    <col min="12554" max="12554" width="5.28515625" style="4" customWidth="1"/>
    <col min="12555" max="12555" width="8" style="4" customWidth="1"/>
    <col min="12556" max="12556" width="6.7109375" style="4" customWidth="1"/>
    <col min="12557" max="12557" width="6.85546875" style="4" customWidth="1"/>
    <col min="12558" max="12558" width="8.7109375" style="4" customWidth="1"/>
    <col min="12559" max="12559" width="8" style="4" customWidth="1"/>
    <col min="12560" max="12560" width="6.7109375" style="4" customWidth="1"/>
    <col min="12561" max="12561" width="7.7109375" style="4" customWidth="1"/>
    <col min="12562" max="12562" width="7.28515625" style="4" customWidth="1"/>
    <col min="12563" max="12563" width="10.7109375" style="4" customWidth="1"/>
    <col min="12564" max="12564" width="6.85546875" style="4" customWidth="1"/>
    <col min="12565" max="12565" width="7.7109375" style="4" customWidth="1"/>
    <col min="12566" max="12566" width="6.5703125" style="4" customWidth="1"/>
    <col min="12567" max="12567" width="8" style="4" customWidth="1"/>
    <col min="12568" max="12568" width="8.140625" style="4" customWidth="1"/>
    <col min="12569" max="12569" width="5.140625" style="4" customWidth="1"/>
    <col min="12570" max="12570" width="6.85546875" style="4" customWidth="1"/>
    <col min="12571" max="12572" width="9.42578125" style="4" customWidth="1"/>
    <col min="12573" max="12573" width="0" style="4" hidden="1" customWidth="1"/>
    <col min="12574" max="12574" width="10.5703125" style="4" customWidth="1"/>
    <col min="12575" max="12577" width="9.140625" style="4"/>
    <col min="12578" max="12578" width="10.7109375" style="4" customWidth="1"/>
    <col min="12579" max="12579" width="9.42578125" style="4" bestFit="1" customWidth="1"/>
    <col min="12580" max="12800" width="9.140625" style="4"/>
    <col min="12801" max="12801" width="5.5703125" style="4" customWidth="1"/>
    <col min="12802" max="12802" width="22.28515625" style="4" customWidth="1"/>
    <col min="12803" max="12803" width="5.7109375" style="4" customWidth="1"/>
    <col min="12804" max="12804" width="6.7109375" style="4" customWidth="1"/>
    <col min="12805" max="12805" width="9.28515625" style="4" customWidth="1"/>
    <col min="12806" max="12806" width="8.7109375" style="4" customWidth="1"/>
    <col min="12807" max="12807" width="8.85546875" style="4" customWidth="1"/>
    <col min="12808" max="12808" width="8.140625" style="4" customWidth="1"/>
    <col min="12809" max="12809" width="7.5703125" style="4" customWidth="1"/>
    <col min="12810" max="12810" width="5.28515625" style="4" customWidth="1"/>
    <col min="12811" max="12811" width="8" style="4" customWidth="1"/>
    <col min="12812" max="12812" width="6.7109375" style="4" customWidth="1"/>
    <col min="12813" max="12813" width="6.85546875" style="4" customWidth="1"/>
    <col min="12814" max="12814" width="8.7109375" style="4" customWidth="1"/>
    <col min="12815" max="12815" width="8" style="4" customWidth="1"/>
    <col min="12816" max="12816" width="6.7109375" style="4" customWidth="1"/>
    <col min="12817" max="12817" width="7.7109375" style="4" customWidth="1"/>
    <col min="12818" max="12818" width="7.28515625" style="4" customWidth="1"/>
    <col min="12819" max="12819" width="10.7109375" style="4" customWidth="1"/>
    <col min="12820" max="12820" width="6.85546875" style="4" customWidth="1"/>
    <col min="12821" max="12821" width="7.7109375" style="4" customWidth="1"/>
    <col min="12822" max="12822" width="6.5703125" style="4" customWidth="1"/>
    <col min="12823" max="12823" width="8" style="4" customWidth="1"/>
    <col min="12824" max="12824" width="8.140625" style="4" customWidth="1"/>
    <col min="12825" max="12825" width="5.140625" style="4" customWidth="1"/>
    <col min="12826" max="12826" width="6.85546875" style="4" customWidth="1"/>
    <col min="12827" max="12828" width="9.42578125" style="4" customWidth="1"/>
    <col min="12829" max="12829" width="0" style="4" hidden="1" customWidth="1"/>
    <col min="12830" max="12830" width="10.5703125" style="4" customWidth="1"/>
    <col min="12831" max="12833" width="9.140625" style="4"/>
    <col min="12834" max="12834" width="10.7109375" style="4" customWidth="1"/>
    <col min="12835" max="12835" width="9.42578125" style="4" bestFit="1" customWidth="1"/>
    <col min="12836" max="13056" width="9.140625" style="4"/>
    <col min="13057" max="13057" width="5.5703125" style="4" customWidth="1"/>
    <col min="13058" max="13058" width="22.28515625" style="4" customWidth="1"/>
    <col min="13059" max="13059" width="5.7109375" style="4" customWidth="1"/>
    <col min="13060" max="13060" width="6.7109375" style="4" customWidth="1"/>
    <col min="13061" max="13061" width="9.28515625" style="4" customWidth="1"/>
    <col min="13062" max="13062" width="8.7109375" style="4" customWidth="1"/>
    <col min="13063" max="13063" width="8.85546875" style="4" customWidth="1"/>
    <col min="13064" max="13064" width="8.140625" style="4" customWidth="1"/>
    <col min="13065" max="13065" width="7.5703125" style="4" customWidth="1"/>
    <col min="13066" max="13066" width="5.28515625" style="4" customWidth="1"/>
    <col min="13067" max="13067" width="8" style="4" customWidth="1"/>
    <col min="13068" max="13068" width="6.7109375" style="4" customWidth="1"/>
    <col min="13069" max="13069" width="6.85546875" style="4" customWidth="1"/>
    <col min="13070" max="13070" width="8.7109375" style="4" customWidth="1"/>
    <col min="13071" max="13071" width="8" style="4" customWidth="1"/>
    <col min="13072" max="13072" width="6.7109375" style="4" customWidth="1"/>
    <col min="13073" max="13073" width="7.7109375" style="4" customWidth="1"/>
    <col min="13074" max="13074" width="7.28515625" style="4" customWidth="1"/>
    <col min="13075" max="13075" width="10.7109375" style="4" customWidth="1"/>
    <col min="13076" max="13076" width="6.85546875" style="4" customWidth="1"/>
    <col min="13077" max="13077" width="7.7109375" style="4" customWidth="1"/>
    <col min="13078" max="13078" width="6.5703125" style="4" customWidth="1"/>
    <col min="13079" max="13079" width="8" style="4" customWidth="1"/>
    <col min="13080" max="13080" width="8.140625" style="4" customWidth="1"/>
    <col min="13081" max="13081" width="5.140625" style="4" customWidth="1"/>
    <col min="13082" max="13082" width="6.85546875" style="4" customWidth="1"/>
    <col min="13083" max="13084" width="9.42578125" style="4" customWidth="1"/>
    <col min="13085" max="13085" width="0" style="4" hidden="1" customWidth="1"/>
    <col min="13086" max="13086" width="10.5703125" style="4" customWidth="1"/>
    <col min="13087" max="13089" width="9.140625" style="4"/>
    <col min="13090" max="13090" width="10.7109375" style="4" customWidth="1"/>
    <col min="13091" max="13091" width="9.42578125" style="4" bestFit="1" customWidth="1"/>
    <col min="13092" max="13312" width="9.140625" style="4"/>
    <col min="13313" max="13313" width="5.5703125" style="4" customWidth="1"/>
    <col min="13314" max="13314" width="22.28515625" style="4" customWidth="1"/>
    <col min="13315" max="13315" width="5.7109375" style="4" customWidth="1"/>
    <col min="13316" max="13316" width="6.7109375" style="4" customWidth="1"/>
    <col min="13317" max="13317" width="9.28515625" style="4" customWidth="1"/>
    <col min="13318" max="13318" width="8.7109375" style="4" customWidth="1"/>
    <col min="13319" max="13319" width="8.85546875" style="4" customWidth="1"/>
    <col min="13320" max="13320" width="8.140625" style="4" customWidth="1"/>
    <col min="13321" max="13321" width="7.5703125" style="4" customWidth="1"/>
    <col min="13322" max="13322" width="5.28515625" style="4" customWidth="1"/>
    <col min="13323" max="13323" width="8" style="4" customWidth="1"/>
    <col min="13324" max="13324" width="6.7109375" style="4" customWidth="1"/>
    <col min="13325" max="13325" width="6.85546875" style="4" customWidth="1"/>
    <col min="13326" max="13326" width="8.7109375" style="4" customWidth="1"/>
    <col min="13327" max="13327" width="8" style="4" customWidth="1"/>
    <col min="13328" max="13328" width="6.7109375" style="4" customWidth="1"/>
    <col min="13329" max="13329" width="7.7109375" style="4" customWidth="1"/>
    <col min="13330" max="13330" width="7.28515625" style="4" customWidth="1"/>
    <col min="13331" max="13331" width="10.7109375" style="4" customWidth="1"/>
    <col min="13332" max="13332" width="6.85546875" style="4" customWidth="1"/>
    <col min="13333" max="13333" width="7.7109375" style="4" customWidth="1"/>
    <col min="13334" max="13334" width="6.5703125" style="4" customWidth="1"/>
    <col min="13335" max="13335" width="8" style="4" customWidth="1"/>
    <col min="13336" max="13336" width="8.140625" style="4" customWidth="1"/>
    <col min="13337" max="13337" width="5.140625" style="4" customWidth="1"/>
    <col min="13338" max="13338" width="6.85546875" style="4" customWidth="1"/>
    <col min="13339" max="13340" width="9.42578125" style="4" customWidth="1"/>
    <col min="13341" max="13341" width="0" style="4" hidden="1" customWidth="1"/>
    <col min="13342" max="13342" width="10.5703125" style="4" customWidth="1"/>
    <col min="13343" max="13345" width="9.140625" style="4"/>
    <col min="13346" max="13346" width="10.7109375" style="4" customWidth="1"/>
    <col min="13347" max="13347" width="9.42578125" style="4" bestFit="1" customWidth="1"/>
    <col min="13348" max="13568" width="9.140625" style="4"/>
    <col min="13569" max="13569" width="5.5703125" style="4" customWidth="1"/>
    <col min="13570" max="13570" width="22.28515625" style="4" customWidth="1"/>
    <col min="13571" max="13571" width="5.7109375" style="4" customWidth="1"/>
    <col min="13572" max="13572" width="6.7109375" style="4" customWidth="1"/>
    <col min="13573" max="13573" width="9.28515625" style="4" customWidth="1"/>
    <col min="13574" max="13574" width="8.7109375" style="4" customWidth="1"/>
    <col min="13575" max="13575" width="8.85546875" style="4" customWidth="1"/>
    <col min="13576" max="13576" width="8.140625" style="4" customWidth="1"/>
    <col min="13577" max="13577" width="7.5703125" style="4" customWidth="1"/>
    <col min="13578" max="13578" width="5.28515625" style="4" customWidth="1"/>
    <col min="13579" max="13579" width="8" style="4" customWidth="1"/>
    <col min="13580" max="13580" width="6.7109375" style="4" customWidth="1"/>
    <col min="13581" max="13581" width="6.85546875" style="4" customWidth="1"/>
    <col min="13582" max="13582" width="8.7109375" style="4" customWidth="1"/>
    <col min="13583" max="13583" width="8" style="4" customWidth="1"/>
    <col min="13584" max="13584" width="6.7109375" style="4" customWidth="1"/>
    <col min="13585" max="13585" width="7.7109375" style="4" customWidth="1"/>
    <col min="13586" max="13586" width="7.28515625" style="4" customWidth="1"/>
    <col min="13587" max="13587" width="10.7109375" style="4" customWidth="1"/>
    <col min="13588" max="13588" width="6.85546875" style="4" customWidth="1"/>
    <col min="13589" max="13589" width="7.7109375" style="4" customWidth="1"/>
    <col min="13590" max="13590" width="6.5703125" style="4" customWidth="1"/>
    <col min="13591" max="13591" width="8" style="4" customWidth="1"/>
    <col min="13592" max="13592" width="8.140625" style="4" customWidth="1"/>
    <col min="13593" max="13593" width="5.140625" style="4" customWidth="1"/>
    <col min="13594" max="13594" width="6.85546875" style="4" customWidth="1"/>
    <col min="13595" max="13596" width="9.42578125" style="4" customWidth="1"/>
    <col min="13597" max="13597" width="0" style="4" hidden="1" customWidth="1"/>
    <col min="13598" max="13598" width="10.5703125" style="4" customWidth="1"/>
    <col min="13599" max="13601" width="9.140625" style="4"/>
    <col min="13602" max="13602" width="10.7109375" style="4" customWidth="1"/>
    <col min="13603" max="13603" width="9.42578125" style="4" bestFit="1" customWidth="1"/>
    <col min="13604" max="13824" width="9.140625" style="4"/>
    <col min="13825" max="13825" width="5.5703125" style="4" customWidth="1"/>
    <col min="13826" max="13826" width="22.28515625" style="4" customWidth="1"/>
    <col min="13827" max="13827" width="5.7109375" style="4" customWidth="1"/>
    <col min="13828" max="13828" width="6.7109375" style="4" customWidth="1"/>
    <col min="13829" max="13829" width="9.28515625" style="4" customWidth="1"/>
    <col min="13830" max="13830" width="8.7109375" style="4" customWidth="1"/>
    <col min="13831" max="13831" width="8.85546875" style="4" customWidth="1"/>
    <col min="13832" max="13832" width="8.140625" style="4" customWidth="1"/>
    <col min="13833" max="13833" width="7.5703125" style="4" customWidth="1"/>
    <col min="13834" max="13834" width="5.28515625" style="4" customWidth="1"/>
    <col min="13835" max="13835" width="8" style="4" customWidth="1"/>
    <col min="13836" max="13836" width="6.7109375" style="4" customWidth="1"/>
    <col min="13837" max="13837" width="6.85546875" style="4" customWidth="1"/>
    <col min="13838" max="13838" width="8.7109375" style="4" customWidth="1"/>
    <col min="13839" max="13839" width="8" style="4" customWidth="1"/>
    <col min="13840" max="13840" width="6.7109375" style="4" customWidth="1"/>
    <col min="13841" max="13841" width="7.7109375" style="4" customWidth="1"/>
    <col min="13842" max="13842" width="7.28515625" style="4" customWidth="1"/>
    <col min="13843" max="13843" width="10.7109375" style="4" customWidth="1"/>
    <col min="13844" max="13844" width="6.85546875" style="4" customWidth="1"/>
    <col min="13845" max="13845" width="7.7109375" style="4" customWidth="1"/>
    <col min="13846" max="13846" width="6.5703125" style="4" customWidth="1"/>
    <col min="13847" max="13847" width="8" style="4" customWidth="1"/>
    <col min="13848" max="13848" width="8.140625" style="4" customWidth="1"/>
    <col min="13849" max="13849" width="5.140625" style="4" customWidth="1"/>
    <col min="13850" max="13850" width="6.85546875" style="4" customWidth="1"/>
    <col min="13851" max="13852" width="9.42578125" style="4" customWidth="1"/>
    <col min="13853" max="13853" width="0" style="4" hidden="1" customWidth="1"/>
    <col min="13854" max="13854" width="10.5703125" style="4" customWidth="1"/>
    <col min="13855" max="13857" width="9.140625" style="4"/>
    <col min="13858" max="13858" width="10.7109375" style="4" customWidth="1"/>
    <col min="13859" max="13859" width="9.42578125" style="4" bestFit="1" customWidth="1"/>
    <col min="13860" max="14080" width="9.140625" style="4"/>
    <col min="14081" max="14081" width="5.5703125" style="4" customWidth="1"/>
    <col min="14082" max="14082" width="22.28515625" style="4" customWidth="1"/>
    <col min="14083" max="14083" width="5.7109375" style="4" customWidth="1"/>
    <col min="14084" max="14084" width="6.7109375" style="4" customWidth="1"/>
    <col min="14085" max="14085" width="9.28515625" style="4" customWidth="1"/>
    <col min="14086" max="14086" width="8.7109375" style="4" customWidth="1"/>
    <col min="14087" max="14087" width="8.85546875" style="4" customWidth="1"/>
    <col min="14088" max="14088" width="8.140625" style="4" customWidth="1"/>
    <col min="14089" max="14089" width="7.5703125" style="4" customWidth="1"/>
    <col min="14090" max="14090" width="5.28515625" style="4" customWidth="1"/>
    <col min="14091" max="14091" width="8" style="4" customWidth="1"/>
    <col min="14092" max="14092" width="6.7109375" style="4" customWidth="1"/>
    <col min="14093" max="14093" width="6.85546875" style="4" customWidth="1"/>
    <col min="14094" max="14094" width="8.7109375" style="4" customWidth="1"/>
    <col min="14095" max="14095" width="8" style="4" customWidth="1"/>
    <col min="14096" max="14096" width="6.7109375" style="4" customWidth="1"/>
    <col min="14097" max="14097" width="7.7109375" style="4" customWidth="1"/>
    <col min="14098" max="14098" width="7.28515625" style="4" customWidth="1"/>
    <col min="14099" max="14099" width="10.7109375" style="4" customWidth="1"/>
    <col min="14100" max="14100" width="6.85546875" style="4" customWidth="1"/>
    <col min="14101" max="14101" width="7.7109375" style="4" customWidth="1"/>
    <col min="14102" max="14102" width="6.5703125" style="4" customWidth="1"/>
    <col min="14103" max="14103" width="8" style="4" customWidth="1"/>
    <col min="14104" max="14104" width="8.140625" style="4" customWidth="1"/>
    <col min="14105" max="14105" width="5.140625" style="4" customWidth="1"/>
    <col min="14106" max="14106" width="6.85546875" style="4" customWidth="1"/>
    <col min="14107" max="14108" width="9.42578125" style="4" customWidth="1"/>
    <col min="14109" max="14109" width="0" style="4" hidden="1" customWidth="1"/>
    <col min="14110" max="14110" width="10.5703125" style="4" customWidth="1"/>
    <col min="14111" max="14113" width="9.140625" style="4"/>
    <col min="14114" max="14114" width="10.7109375" style="4" customWidth="1"/>
    <col min="14115" max="14115" width="9.42578125" style="4" bestFit="1" customWidth="1"/>
    <col min="14116" max="14336" width="9.140625" style="4"/>
    <col min="14337" max="14337" width="5.5703125" style="4" customWidth="1"/>
    <col min="14338" max="14338" width="22.28515625" style="4" customWidth="1"/>
    <col min="14339" max="14339" width="5.7109375" style="4" customWidth="1"/>
    <col min="14340" max="14340" width="6.7109375" style="4" customWidth="1"/>
    <col min="14341" max="14341" width="9.28515625" style="4" customWidth="1"/>
    <col min="14342" max="14342" width="8.7109375" style="4" customWidth="1"/>
    <col min="14343" max="14343" width="8.85546875" style="4" customWidth="1"/>
    <col min="14344" max="14344" width="8.140625" style="4" customWidth="1"/>
    <col min="14345" max="14345" width="7.5703125" style="4" customWidth="1"/>
    <col min="14346" max="14346" width="5.28515625" style="4" customWidth="1"/>
    <col min="14347" max="14347" width="8" style="4" customWidth="1"/>
    <col min="14348" max="14348" width="6.7109375" style="4" customWidth="1"/>
    <col min="14349" max="14349" width="6.85546875" style="4" customWidth="1"/>
    <col min="14350" max="14350" width="8.7109375" style="4" customWidth="1"/>
    <col min="14351" max="14351" width="8" style="4" customWidth="1"/>
    <col min="14352" max="14352" width="6.7109375" style="4" customWidth="1"/>
    <col min="14353" max="14353" width="7.7109375" style="4" customWidth="1"/>
    <col min="14354" max="14354" width="7.28515625" style="4" customWidth="1"/>
    <col min="14355" max="14355" width="10.7109375" style="4" customWidth="1"/>
    <col min="14356" max="14356" width="6.85546875" style="4" customWidth="1"/>
    <col min="14357" max="14357" width="7.7109375" style="4" customWidth="1"/>
    <col min="14358" max="14358" width="6.5703125" style="4" customWidth="1"/>
    <col min="14359" max="14359" width="8" style="4" customWidth="1"/>
    <col min="14360" max="14360" width="8.140625" style="4" customWidth="1"/>
    <col min="14361" max="14361" width="5.140625" style="4" customWidth="1"/>
    <col min="14362" max="14362" width="6.85546875" style="4" customWidth="1"/>
    <col min="14363" max="14364" width="9.42578125" style="4" customWidth="1"/>
    <col min="14365" max="14365" width="0" style="4" hidden="1" customWidth="1"/>
    <col min="14366" max="14366" width="10.5703125" style="4" customWidth="1"/>
    <col min="14367" max="14369" width="9.140625" style="4"/>
    <col min="14370" max="14370" width="10.7109375" style="4" customWidth="1"/>
    <col min="14371" max="14371" width="9.42578125" style="4" bestFit="1" customWidth="1"/>
    <col min="14372" max="14592" width="9.140625" style="4"/>
    <col min="14593" max="14593" width="5.5703125" style="4" customWidth="1"/>
    <col min="14594" max="14594" width="22.28515625" style="4" customWidth="1"/>
    <col min="14595" max="14595" width="5.7109375" style="4" customWidth="1"/>
    <col min="14596" max="14596" width="6.7109375" style="4" customWidth="1"/>
    <col min="14597" max="14597" width="9.28515625" style="4" customWidth="1"/>
    <col min="14598" max="14598" width="8.7109375" style="4" customWidth="1"/>
    <col min="14599" max="14599" width="8.85546875" style="4" customWidth="1"/>
    <col min="14600" max="14600" width="8.140625" style="4" customWidth="1"/>
    <col min="14601" max="14601" width="7.5703125" style="4" customWidth="1"/>
    <col min="14602" max="14602" width="5.28515625" style="4" customWidth="1"/>
    <col min="14603" max="14603" width="8" style="4" customWidth="1"/>
    <col min="14604" max="14604" width="6.7109375" style="4" customWidth="1"/>
    <col min="14605" max="14605" width="6.85546875" style="4" customWidth="1"/>
    <col min="14606" max="14606" width="8.7109375" style="4" customWidth="1"/>
    <col min="14607" max="14607" width="8" style="4" customWidth="1"/>
    <col min="14608" max="14608" width="6.7109375" style="4" customWidth="1"/>
    <col min="14609" max="14609" width="7.7109375" style="4" customWidth="1"/>
    <col min="14610" max="14610" width="7.28515625" style="4" customWidth="1"/>
    <col min="14611" max="14611" width="10.7109375" style="4" customWidth="1"/>
    <col min="14612" max="14612" width="6.85546875" style="4" customWidth="1"/>
    <col min="14613" max="14613" width="7.7109375" style="4" customWidth="1"/>
    <col min="14614" max="14614" width="6.5703125" style="4" customWidth="1"/>
    <col min="14615" max="14615" width="8" style="4" customWidth="1"/>
    <col min="14616" max="14616" width="8.140625" style="4" customWidth="1"/>
    <col min="14617" max="14617" width="5.140625" style="4" customWidth="1"/>
    <col min="14618" max="14618" width="6.85546875" style="4" customWidth="1"/>
    <col min="14619" max="14620" width="9.42578125" style="4" customWidth="1"/>
    <col min="14621" max="14621" width="0" style="4" hidden="1" customWidth="1"/>
    <col min="14622" max="14622" width="10.5703125" style="4" customWidth="1"/>
    <col min="14623" max="14625" width="9.140625" style="4"/>
    <col min="14626" max="14626" width="10.7109375" style="4" customWidth="1"/>
    <col min="14627" max="14627" width="9.42578125" style="4" bestFit="1" customWidth="1"/>
    <col min="14628" max="14848" width="9.140625" style="4"/>
    <col min="14849" max="14849" width="5.5703125" style="4" customWidth="1"/>
    <col min="14850" max="14850" width="22.28515625" style="4" customWidth="1"/>
    <col min="14851" max="14851" width="5.7109375" style="4" customWidth="1"/>
    <col min="14852" max="14852" width="6.7109375" style="4" customWidth="1"/>
    <col min="14853" max="14853" width="9.28515625" style="4" customWidth="1"/>
    <col min="14854" max="14854" width="8.7109375" style="4" customWidth="1"/>
    <col min="14855" max="14855" width="8.85546875" style="4" customWidth="1"/>
    <col min="14856" max="14856" width="8.140625" style="4" customWidth="1"/>
    <col min="14857" max="14857" width="7.5703125" style="4" customWidth="1"/>
    <col min="14858" max="14858" width="5.28515625" style="4" customWidth="1"/>
    <col min="14859" max="14859" width="8" style="4" customWidth="1"/>
    <col min="14860" max="14860" width="6.7109375" style="4" customWidth="1"/>
    <col min="14861" max="14861" width="6.85546875" style="4" customWidth="1"/>
    <col min="14862" max="14862" width="8.7109375" style="4" customWidth="1"/>
    <col min="14863" max="14863" width="8" style="4" customWidth="1"/>
    <col min="14864" max="14864" width="6.7109375" style="4" customWidth="1"/>
    <col min="14865" max="14865" width="7.7109375" style="4" customWidth="1"/>
    <col min="14866" max="14866" width="7.28515625" style="4" customWidth="1"/>
    <col min="14867" max="14867" width="10.7109375" style="4" customWidth="1"/>
    <col min="14868" max="14868" width="6.85546875" style="4" customWidth="1"/>
    <col min="14869" max="14869" width="7.7109375" style="4" customWidth="1"/>
    <col min="14870" max="14870" width="6.5703125" style="4" customWidth="1"/>
    <col min="14871" max="14871" width="8" style="4" customWidth="1"/>
    <col min="14872" max="14872" width="8.140625" style="4" customWidth="1"/>
    <col min="14873" max="14873" width="5.140625" style="4" customWidth="1"/>
    <col min="14874" max="14874" width="6.85546875" style="4" customWidth="1"/>
    <col min="14875" max="14876" width="9.42578125" style="4" customWidth="1"/>
    <col min="14877" max="14877" width="0" style="4" hidden="1" customWidth="1"/>
    <col min="14878" max="14878" width="10.5703125" style="4" customWidth="1"/>
    <col min="14879" max="14881" width="9.140625" style="4"/>
    <col min="14882" max="14882" width="10.7109375" style="4" customWidth="1"/>
    <col min="14883" max="14883" width="9.42578125" style="4" bestFit="1" customWidth="1"/>
    <col min="14884" max="15104" width="9.140625" style="4"/>
    <col min="15105" max="15105" width="5.5703125" style="4" customWidth="1"/>
    <col min="15106" max="15106" width="22.28515625" style="4" customWidth="1"/>
    <col min="15107" max="15107" width="5.7109375" style="4" customWidth="1"/>
    <col min="15108" max="15108" width="6.7109375" style="4" customWidth="1"/>
    <col min="15109" max="15109" width="9.28515625" style="4" customWidth="1"/>
    <col min="15110" max="15110" width="8.7109375" style="4" customWidth="1"/>
    <col min="15111" max="15111" width="8.85546875" style="4" customWidth="1"/>
    <col min="15112" max="15112" width="8.140625" style="4" customWidth="1"/>
    <col min="15113" max="15113" width="7.5703125" style="4" customWidth="1"/>
    <col min="15114" max="15114" width="5.28515625" style="4" customWidth="1"/>
    <col min="15115" max="15115" width="8" style="4" customWidth="1"/>
    <col min="15116" max="15116" width="6.7109375" style="4" customWidth="1"/>
    <col min="15117" max="15117" width="6.85546875" style="4" customWidth="1"/>
    <col min="15118" max="15118" width="8.7109375" style="4" customWidth="1"/>
    <col min="15119" max="15119" width="8" style="4" customWidth="1"/>
    <col min="15120" max="15120" width="6.7109375" style="4" customWidth="1"/>
    <col min="15121" max="15121" width="7.7109375" style="4" customWidth="1"/>
    <col min="15122" max="15122" width="7.28515625" style="4" customWidth="1"/>
    <col min="15123" max="15123" width="10.7109375" style="4" customWidth="1"/>
    <col min="15124" max="15124" width="6.85546875" style="4" customWidth="1"/>
    <col min="15125" max="15125" width="7.7109375" style="4" customWidth="1"/>
    <col min="15126" max="15126" width="6.5703125" style="4" customWidth="1"/>
    <col min="15127" max="15127" width="8" style="4" customWidth="1"/>
    <col min="15128" max="15128" width="8.140625" style="4" customWidth="1"/>
    <col min="15129" max="15129" width="5.140625" style="4" customWidth="1"/>
    <col min="15130" max="15130" width="6.85546875" style="4" customWidth="1"/>
    <col min="15131" max="15132" width="9.42578125" style="4" customWidth="1"/>
    <col min="15133" max="15133" width="0" style="4" hidden="1" customWidth="1"/>
    <col min="15134" max="15134" width="10.5703125" style="4" customWidth="1"/>
    <col min="15135" max="15137" width="9.140625" style="4"/>
    <col min="15138" max="15138" width="10.7109375" style="4" customWidth="1"/>
    <col min="15139" max="15139" width="9.42578125" style="4" bestFit="1" customWidth="1"/>
    <col min="15140" max="15360" width="9.140625" style="4"/>
    <col min="15361" max="15361" width="5.5703125" style="4" customWidth="1"/>
    <col min="15362" max="15362" width="22.28515625" style="4" customWidth="1"/>
    <col min="15363" max="15363" width="5.7109375" style="4" customWidth="1"/>
    <col min="15364" max="15364" width="6.7109375" style="4" customWidth="1"/>
    <col min="15365" max="15365" width="9.28515625" style="4" customWidth="1"/>
    <col min="15366" max="15366" width="8.7109375" style="4" customWidth="1"/>
    <col min="15367" max="15367" width="8.85546875" style="4" customWidth="1"/>
    <col min="15368" max="15368" width="8.140625" style="4" customWidth="1"/>
    <col min="15369" max="15369" width="7.5703125" style="4" customWidth="1"/>
    <col min="15370" max="15370" width="5.28515625" style="4" customWidth="1"/>
    <col min="15371" max="15371" width="8" style="4" customWidth="1"/>
    <col min="15372" max="15372" width="6.7109375" style="4" customWidth="1"/>
    <col min="15373" max="15373" width="6.85546875" style="4" customWidth="1"/>
    <col min="15374" max="15374" width="8.7109375" style="4" customWidth="1"/>
    <col min="15375" max="15375" width="8" style="4" customWidth="1"/>
    <col min="15376" max="15376" width="6.7109375" style="4" customWidth="1"/>
    <col min="15377" max="15377" width="7.7109375" style="4" customWidth="1"/>
    <col min="15378" max="15378" width="7.28515625" style="4" customWidth="1"/>
    <col min="15379" max="15379" width="10.7109375" style="4" customWidth="1"/>
    <col min="15380" max="15380" width="6.85546875" style="4" customWidth="1"/>
    <col min="15381" max="15381" width="7.7109375" style="4" customWidth="1"/>
    <col min="15382" max="15382" width="6.5703125" style="4" customWidth="1"/>
    <col min="15383" max="15383" width="8" style="4" customWidth="1"/>
    <col min="15384" max="15384" width="8.140625" style="4" customWidth="1"/>
    <col min="15385" max="15385" width="5.140625" style="4" customWidth="1"/>
    <col min="15386" max="15386" width="6.85546875" style="4" customWidth="1"/>
    <col min="15387" max="15388" width="9.42578125" style="4" customWidth="1"/>
    <col min="15389" max="15389" width="0" style="4" hidden="1" customWidth="1"/>
    <col min="15390" max="15390" width="10.5703125" style="4" customWidth="1"/>
    <col min="15391" max="15393" width="9.140625" style="4"/>
    <col min="15394" max="15394" width="10.7109375" style="4" customWidth="1"/>
    <col min="15395" max="15395" width="9.42578125" style="4" bestFit="1" customWidth="1"/>
    <col min="15396" max="15616" width="9.140625" style="4"/>
    <col min="15617" max="15617" width="5.5703125" style="4" customWidth="1"/>
    <col min="15618" max="15618" width="22.28515625" style="4" customWidth="1"/>
    <col min="15619" max="15619" width="5.7109375" style="4" customWidth="1"/>
    <col min="15620" max="15620" width="6.7109375" style="4" customWidth="1"/>
    <col min="15621" max="15621" width="9.28515625" style="4" customWidth="1"/>
    <col min="15622" max="15622" width="8.7109375" style="4" customWidth="1"/>
    <col min="15623" max="15623" width="8.85546875" style="4" customWidth="1"/>
    <col min="15624" max="15624" width="8.140625" style="4" customWidth="1"/>
    <col min="15625" max="15625" width="7.5703125" style="4" customWidth="1"/>
    <col min="15626" max="15626" width="5.28515625" style="4" customWidth="1"/>
    <col min="15627" max="15627" width="8" style="4" customWidth="1"/>
    <col min="15628" max="15628" width="6.7109375" style="4" customWidth="1"/>
    <col min="15629" max="15629" width="6.85546875" style="4" customWidth="1"/>
    <col min="15630" max="15630" width="8.7109375" style="4" customWidth="1"/>
    <col min="15631" max="15631" width="8" style="4" customWidth="1"/>
    <col min="15632" max="15632" width="6.7109375" style="4" customWidth="1"/>
    <col min="15633" max="15633" width="7.7109375" style="4" customWidth="1"/>
    <col min="15634" max="15634" width="7.28515625" style="4" customWidth="1"/>
    <col min="15635" max="15635" width="10.7109375" style="4" customWidth="1"/>
    <col min="15636" max="15636" width="6.85546875" style="4" customWidth="1"/>
    <col min="15637" max="15637" width="7.7109375" style="4" customWidth="1"/>
    <col min="15638" max="15638" width="6.5703125" style="4" customWidth="1"/>
    <col min="15639" max="15639" width="8" style="4" customWidth="1"/>
    <col min="15640" max="15640" width="8.140625" style="4" customWidth="1"/>
    <col min="15641" max="15641" width="5.140625" style="4" customWidth="1"/>
    <col min="15642" max="15642" width="6.85546875" style="4" customWidth="1"/>
    <col min="15643" max="15644" width="9.42578125" style="4" customWidth="1"/>
    <col min="15645" max="15645" width="0" style="4" hidden="1" customWidth="1"/>
    <col min="15646" max="15646" width="10.5703125" style="4" customWidth="1"/>
    <col min="15647" max="15649" width="9.140625" style="4"/>
    <col min="15650" max="15650" width="10.7109375" style="4" customWidth="1"/>
    <col min="15651" max="15651" width="9.42578125" style="4" bestFit="1" customWidth="1"/>
    <col min="15652" max="15872" width="9.140625" style="4"/>
    <col min="15873" max="15873" width="5.5703125" style="4" customWidth="1"/>
    <col min="15874" max="15874" width="22.28515625" style="4" customWidth="1"/>
    <col min="15875" max="15875" width="5.7109375" style="4" customWidth="1"/>
    <col min="15876" max="15876" width="6.7109375" style="4" customWidth="1"/>
    <col min="15877" max="15877" width="9.28515625" style="4" customWidth="1"/>
    <col min="15878" max="15878" width="8.7109375" style="4" customWidth="1"/>
    <col min="15879" max="15879" width="8.85546875" style="4" customWidth="1"/>
    <col min="15880" max="15880" width="8.140625" style="4" customWidth="1"/>
    <col min="15881" max="15881" width="7.5703125" style="4" customWidth="1"/>
    <col min="15882" max="15882" width="5.28515625" style="4" customWidth="1"/>
    <col min="15883" max="15883" width="8" style="4" customWidth="1"/>
    <col min="15884" max="15884" width="6.7109375" style="4" customWidth="1"/>
    <col min="15885" max="15885" width="6.85546875" style="4" customWidth="1"/>
    <col min="15886" max="15886" width="8.7109375" style="4" customWidth="1"/>
    <col min="15887" max="15887" width="8" style="4" customWidth="1"/>
    <col min="15888" max="15888" width="6.7109375" style="4" customWidth="1"/>
    <col min="15889" max="15889" width="7.7109375" style="4" customWidth="1"/>
    <col min="15890" max="15890" width="7.28515625" style="4" customWidth="1"/>
    <col min="15891" max="15891" width="10.7109375" style="4" customWidth="1"/>
    <col min="15892" max="15892" width="6.85546875" style="4" customWidth="1"/>
    <col min="15893" max="15893" width="7.7109375" style="4" customWidth="1"/>
    <col min="15894" max="15894" width="6.5703125" style="4" customWidth="1"/>
    <col min="15895" max="15895" width="8" style="4" customWidth="1"/>
    <col min="15896" max="15896" width="8.140625" style="4" customWidth="1"/>
    <col min="15897" max="15897" width="5.140625" style="4" customWidth="1"/>
    <col min="15898" max="15898" width="6.85546875" style="4" customWidth="1"/>
    <col min="15899" max="15900" width="9.42578125" style="4" customWidth="1"/>
    <col min="15901" max="15901" width="0" style="4" hidden="1" customWidth="1"/>
    <col min="15902" max="15902" width="10.5703125" style="4" customWidth="1"/>
    <col min="15903" max="15905" width="9.140625" style="4"/>
    <col min="15906" max="15906" width="10.7109375" style="4" customWidth="1"/>
    <col min="15907" max="15907" width="9.42578125" style="4" bestFit="1" customWidth="1"/>
    <col min="15908" max="16128" width="9.140625" style="4"/>
    <col min="16129" max="16129" width="5.5703125" style="4" customWidth="1"/>
    <col min="16130" max="16130" width="22.28515625" style="4" customWidth="1"/>
    <col min="16131" max="16131" width="5.7109375" style="4" customWidth="1"/>
    <col min="16132" max="16132" width="6.7109375" style="4" customWidth="1"/>
    <col min="16133" max="16133" width="9.28515625" style="4" customWidth="1"/>
    <col min="16134" max="16134" width="8.7109375" style="4" customWidth="1"/>
    <col min="16135" max="16135" width="8.85546875" style="4" customWidth="1"/>
    <col min="16136" max="16136" width="8.140625" style="4" customWidth="1"/>
    <col min="16137" max="16137" width="7.5703125" style="4" customWidth="1"/>
    <col min="16138" max="16138" width="5.28515625" style="4" customWidth="1"/>
    <col min="16139" max="16139" width="8" style="4" customWidth="1"/>
    <col min="16140" max="16140" width="6.7109375" style="4" customWidth="1"/>
    <col min="16141" max="16141" width="6.85546875" style="4" customWidth="1"/>
    <col min="16142" max="16142" width="8.7109375" style="4" customWidth="1"/>
    <col min="16143" max="16143" width="8" style="4" customWidth="1"/>
    <col min="16144" max="16144" width="6.7109375" style="4" customWidth="1"/>
    <col min="16145" max="16145" width="7.7109375" style="4" customWidth="1"/>
    <col min="16146" max="16146" width="7.28515625" style="4" customWidth="1"/>
    <col min="16147" max="16147" width="10.7109375" style="4" customWidth="1"/>
    <col min="16148" max="16148" width="6.85546875" style="4" customWidth="1"/>
    <col min="16149" max="16149" width="7.7109375" style="4" customWidth="1"/>
    <col min="16150" max="16150" width="6.5703125" style="4" customWidth="1"/>
    <col min="16151" max="16151" width="8" style="4" customWidth="1"/>
    <col min="16152" max="16152" width="8.140625" style="4" customWidth="1"/>
    <col min="16153" max="16153" width="5.140625" style="4" customWidth="1"/>
    <col min="16154" max="16154" width="6.85546875" style="4" customWidth="1"/>
    <col min="16155" max="16156" width="9.42578125" style="4" customWidth="1"/>
    <col min="16157" max="16157" width="0" style="4" hidden="1" customWidth="1"/>
    <col min="16158" max="16158" width="10.5703125" style="4" customWidth="1"/>
    <col min="16159" max="16161" width="9.140625" style="4"/>
    <col min="16162" max="16162" width="10.7109375" style="4" customWidth="1"/>
    <col min="16163" max="16163" width="9.42578125" style="4" bestFit="1" customWidth="1"/>
    <col min="16164" max="16384" width="9.140625" style="4"/>
  </cols>
  <sheetData>
    <row r="1" spans="1:39" ht="23.25" customHeight="1" x14ac:dyDescent="0.25">
      <c r="A1" s="1" t="s">
        <v>0</v>
      </c>
      <c r="B1" s="1"/>
      <c r="C1" s="1"/>
      <c r="D1" s="1"/>
      <c r="E1" s="2"/>
      <c r="F1" s="3"/>
    </row>
    <row r="2" spans="1:39" ht="23.25" customHeight="1" x14ac:dyDescent="0.25">
      <c r="A2" s="9" t="s">
        <v>1</v>
      </c>
      <c r="B2" s="9"/>
      <c r="C2" s="9"/>
      <c r="D2" s="9"/>
      <c r="E2" s="10"/>
      <c r="T2" s="12"/>
      <c r="U2" s="12"/>
    </row>
    <row r="3" spans="1:39" ht="23.25" customHeight="1" x14ac:dyDescent="0.25">
      <c r="A3" s="13" t="s">
        <v>2</v>
      </c>
      <c r="B3" s="13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9" s="17" customFormat="1" ht="23.25" customHeight="1" x14ac:dyDescent="0.25">
      <c r="A4" s="16" t="s">
        <v>117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9" s="32" customFormat="1" ht="24" customHeight="1" x14ac:dyDescent="0.25">
      <c r="A5" s="19" t="s">
        <v>5</v>
      </c>
      <c r="B5" s="20" t="s">
        <v>6</v>
      </c>
      <c r="C5" s="20" t="s">
        <v>7</v>
      </c>
      <c r="D5" s="19" t="s">
        <v>8</v>
      </c>
      <c r="E5" s="21" t="s">
        <v>9</v>
      </c>
      <c r="F5" s="22" t="s">
        <v>10</v>
      </c>
      <c r="G5" s="23" t="s">
        <v>11</v>
      </c>
      <c r="H5" s="24" t="s">
        <v>12</v>
      </c>
      <c r="I5" s="25" t="s">
        <v>13</v>
      </c>
      <c r="J5" s="19" t="s">
        <v>14</v>
      </c>
      <c r="K5" s="26" t="s">
        <v>15</v>
      </c>
      <c r="L5" s="27"/>
      <c r="M5" s="27"/>
      <c r="N5" s="27"/>
      <c r="O5" s="27"/>
      <c r="P5" s="28"/>
      <c r="Q5" s="24" t="s">
        <v>16</v>
      </c>
      <c r="R5" s="29"/>
      <c r="S5" s="19" t="s">
        <v>17</v>
      </c>
      <c r="T5" s="19" t="s">
        <v>18</v>
      </c>
      <c r="U5" s="26" t="s">
        <v>19</v>
      </c>
      <c r="V5" s="30"/>
      <c r="W5" s="30"/>
      <c r="X5" s="30"/>
      <c r="Y5" s="30"/>
      <c r="Z5" s="31"/>
      <c r="AA5" s="19" t="s">
        <v>20</v>
      </c>
      <c r="AB5" s="19" t="s">
        <v>21</v>
      </c>
      <c r="AC5" s="21" t="s">
        <v>109</v>
      </c>
      <c r="AD5" s="19" t="s">
        <v>23</v>
      </c>
    </row>
    <row r="6" spans="1:39" s="32" customFormat="1" ht="24" customHeight="1" x14ac:dyDescent="0.25">
      <c r="A6" s="33"/>
      <c r="B6" s="34"/>
      <c r="C6" s="34"/>
      <c r="D6" s="34"/>
      <c r="E6" s="35"/>
      <c r="F6" s="36"/>
      <c r="G6" s="37"/>
      <c r="H6" s="24"/>
      <c r="I6" s="38"/>
      <c r="J6" s="33"/>
      <c r="K6" s="39" t="s">
        <v>29</v>
      </c>
      <c r="L6" s="19" t="s">
        <v>30</v>
      </c>
      <c r="M6" s="19" t="s">
        <v>31</v>
      </c>
      <c r="N6" s="20" t="s">
        <v>32</v>
      </c>
      <c r="O6" s="40" t="s">
        <v>33</v>
      </c>
      <c r="P6" s="41" t="s">
        <v>34</v>
      </c>
      <c r="Q6" s="24"/>
      <c r="R6" s="33" t="s">
        <v>35</v>
      </c>
      <c r="S6" s="33"/>
      <c r="T6" s="33"/>
      <c r="U6" s="42" t="s">
        <v>32</v>
      </c>
      <c r="V6" s="43" t="s">
        <v>36</v>
      </c>
      <c r="W6" s="43" t="s">
        <v>37</v>
      </c>
      <c r="X6" s="33" t="s">
        <v>38</v>
      </c>
      <c r="Y6" s="44" t="s">
        <v>39</v>
      </c>
      <c r="Z6" s="21" t="s">
        <v>40</v>
      </c>
      <c r="AA6" s="33"/>
      <c r="AB6" s="33"/>
      <c r="AC6" s="35"/>
      <c r="AD6" s="33"/>
    </row>
    <row r="7" spans="1:39" s="32" customFormat="1" ht="24" customHeight="1" x14ac:dyDescent="0.25">
      <c r="A7" s="43"/>
      <c r="B7" s="42"/>
      <c r="C7" s="42"/>
      <c r="D7" s="42"/>
      <c r="E7" s="44"/>
      <c r="F7" s="45"/>
      <c r="G7" s="46"/>
      <c r="H7" s="24"/>
      <c r="I7" s="47"/>
      <c r="J7" s="43"/>
      <c r="K7" s="48"/>
      <c r="L7" s="43"/>
      <c r="M7" s="43"/>
      <c r="N7" s="42"/>
      <c r="O7" s="40"/>
      <c r="P7" s="49"/>
      <c r="Q7" s="24"/>
      <c r="R7" s="43"/>
      <c r="S7" s="43"/>
      <c r="T7" s="43"/>
      <c r="U7" s="40"/>
      <c r="V7" s="40"/>
      <c r="W7" s="24"/>
      <c r="X7" s="42"/>
      <c r="Y7" s="50"/>
      <c r="Z7" s="44"/>
      <c r="AA7" s="43"/>
      <c r="AB7" s="43"/>
      <c r="AC7" s="44"/>
      <c r="AD7" s="43"/>
    </row>
    <row r="8" spans="1:39" s="1" customFormat="1" ht="33" customHeight="1" x14ac:dyDescent="0.25">
      <c r="A8" s="51">
        <v>1</v>
      </c>
      <c r="B8" s="52" t="s">
        <v>41</v>
      </c>
      <c r="C8" s="52" t="s">
        <v>42</v>
      </c>
      <c r="D8" s="53">
        <v>1000</v>
      </c>
      <c r="E8" s="54">
        <v>565.5</v>
      </c>
      <c r="F8" s="55">
        <v>26.5</v>
      </c>
      <c r="G8" s="56">
        <v>400</v>
      </c>
      <c r="H8" s="54">
        <v>12076</v>
      </c>
      <c r="I8" s="54">
        <v>28</v>
      </c>
      <c r="J8" s="57"/>
      <c r="K8" s="54">
        <v>250</v>
      </c>
      <c r="L8" s="6">
        <v>800</v>
      </c>
      <c r="M8" s="54">
        <v>1500</v>
      </c>
      <c r="N8" s="58">
        <v>1141.048</v>
      </c>
      <c r="O8" s="54"/>
      <c r="P8" s="54">
        <v>100</v>
      </c>
      <c r="Q8" s="59"/>
      <c r="R8" s="60">
        <v>10</v>
      </c>
      <c r="S8" s="61">
        <v>17889.778769230772</v>
      </c>
      <c r="T8" s="62"/>
      <c r="U8" s="63">
        <v>1698.3040000000001</v>
      </c>
      <c r="V8" s="53">
        <v>30</v>
      </c>
      <c r="W8" s="54"/>
      <c r="X8" s="54">
        <v>200.3</v>
      </c>
      <c r="Y8" s="64"/>
      <c r="Z8" s="64"/>
      <c r="AA8" s="65">
        <v>1928.604</v>
      </c>
      <c r="AB8" s="65">
        <v>15961.174769230773</v>
      </c>
      <c r="AC8" s="66"/>
      <c r="AD8" s="65">
        <v>15961.174769230773</v>
      </c>
      <c r="AE8" s="67">
        <v>565.5</v>
      </c>
      <c r="AF8" s="73">
        <v>-6434.5</v>
      </c>
      <c r="AG8" s="85">
        <v>-1930.35</v>
      </c>
      <c r="AH8" s="173">
        <v>16748.730769230773</v>
      </c>
      <c r="AI8" s="73">
        <v>-4951.2692307692269</v>
      </c>
      <c r="AJ8" s="74">
        <v>-247.56346153846135</v>
      </c>
      <c r="AK8" s="73"/>
      <c r="AL8" s="174" t="s">
        <v>110</v>
      </c>
      <c r="AM8" s="85">
        <v>21700</v>
      </c>
    </row>
    <row r="9" spans="1:39" ht="33" customHeight="1" x14ac:dyDescent="0.25">
      <c r="A9" s="51">
        <v>2</v>
      </c>
      <c r="B9" s="52" t="s">
        <v>43</v>
      </c>
      <c r="C9" s="52" t="s">
        <v>42</v>
      </c>
      <c r="D9" s="53">
        <v>900</v>
      </c>
      <c r="E9" s="54">
        <v>9906.1200000000008</v>
      </c>
      <c r="F9" s="55">
        <v>26</v>
      </c>
      <c r="G9" s="56">
        <v>1900</v>
      </c>
      <c r="H9" s="54">
        <v>0</v>
      </c>
      <c r="I9" s="54">
        <v>1152</v>
      </c>
      <c r="J9" s="57"/>
      <c r="K9" s="54">
        <v>450</v>
      </c>
      <c r="L9" s="75">
        <v>1025</v>
      </c>
      <c r="M9" s="54"/>
      <c r="N9" s="58">
        <v>1141.048</v>
      </c>
      <c r="O9" s="54">
        <v>910</v>
      </c>
      <c r="P9" s="54">
        <v>100</v>
      </c>
      <c r="Q9" s="59">
        <v>871.83600000000024</v>
      </c>
      <c r="R9" s="54">
        <v>93</v>
      </c>
      <c r="S9" s="61">
        <v>18449.004000000001</v>
      </c>
      <c r="T9" s="62"/>
      <c r="U9" s="63">
        <v>1698.3040000000001</v>
      </c>
      <c r="V9" s="53">
        <v>30</v>
      </c>
      <c r="W9" s="54"/>
      <c r="X9" s="54">
        <v>127.003</v>
      </c>
      <c r="Y9" s="64"/>
      <c r="Z9" s="64"/>
      <c r="AA9" s="65">
        <v>1855.307</v>
      </c>
      <c r="AB9" s="65">
        <v>16593.697</v>
      </c>
      <c r="AC9" s="66"/>
      <c r="AD9" s="65">
        <v>16593.697</v>
      </c>
      <c r="AE9" s="67">
        <v>9906.1200000000008</v>
      </c>
      <c r="AF9" s="73">
        <v>2906.1200000000008</v>
      </c>
      <c r="AG9" s="85">
        <v>871.83600000000024</v>
      </c>
      <c r="AH9" s="173">
        <v>16397.956000000002</v>
      </c>
      <c r="AI9" s="73">
        <v>-5302.0439999999981</v>
      </c>
      <c r="AJ9" s="74">
        <v>-265.10219999999993</v>
      </c>
      <c r="AK9" s="73"/>
      <c r="AL9" s="174" t="s">
        <v>110</v>
      </c>
      <c r="AM9" s="85">
        <v>21700</v>
      </c>
    </row>
    <row r="10" spans="1:39" s="1" customFormat="1" ht="33" customHeight="1" x14ac:dyDescent="0.25">
      <c r="A10" s="51">
        <v>3</v>
      </c>
      <c r="B10" s="52" t="s">
        <v>46</v>
      </c>
      <c r="C10" s="52" t="s">
        <v>42</v>
      </c>
      <c r="D10" s="53">
        <v>500</v>
      </c>
      <c r="E10" s="54">
        <v>9310.18</v>
      </c>
      <c r="F10" s="55">
        <v>26.5</v>
      </c>
      <c r="G10" s="56">
        <v>575</v>
      </c>
      <c r="H10" s="54"/>
      <c r="I10" s="54">
        <v>1332</v>
      </c>
      <c r="J10" s="57"/>
      <c r="K10" s="54">
        <v>150</v>
      </c>
      <c r="L10" s="75"/>
      <c r="M10" s="54"/>
      <c r="N10" s="58">
        <v>1141.048</v>
      </c>
      <c r="O10" s="54">
        <v>910</v>
      </c>
      <c r="P10" s="54">
        <v>100</v>
      </c>
      <c r="Q10" s="59">
        <v>693.05400000000009</v>
      </c>
      <c r="R10" s="60">
        <v>83</v>
      </c>
      <c r="S10" s="61">
        <v>14803.897384615384</v>
      </c>
      <c r="T10" s="62"/>
      <c r="U10" s="63">
        <v>1698.3040000000001</v>
      </c>
      <c r="V10" s="53">
        <v>30</v>
      </c>
      <c r="W10" s="54"/>
      <c r="X10" s="54">
        <v>153.566</v>
      </c>
      <c r="Y10" s="64"/>
      <c r="Z10" s="64"/>
      <c r="AA10" s="65">
        <v>1881.8700000000001</v>
      </c>
      <c r="AB10" s="65">
        <v>12922.027384615383</v>
      </c>
      <c r="AC10" s="66"/>
      <c r="AD10" s="65">
        <v>12922.027384615383</v>
      </c>
      <c r="AE10" s="67">
        <v>9310.18</v>
      </c>
      <c r="AF10" s="73">
        <v>2310.1800000000003</v>
      </c>
      <c r="AG10" s="85">
        <v>693.05400000000009</v>
      </c>
      <c r="AH10" s="173">
        <v>12752.849384615383</v>
      </c>
      <c r="AI10" s="73">
        <v>-8947.1506153846167</v>
      </c>
      <c r="AJ10" s="74">
        <v>-447.35753076923083</v>
      </c>
      <c r="AK10" s="73"/>
      <c r="AL10" s="174" t="s">
        <v>110</v>
      </c>
      <c r="AM10" s="85">
        <v>21700</v>
      </c>
    </row>
    <row r="11" spans="1:39" s="1" customFormat="1" ht="33" customHeight="1" x14ac:dyDescent="0.25">
      <c r="A11" s="51">
        <v>4</v>
      </c>
      <c r="B11" s="52" t="s">
        <v>47</v>
      </c>
      <c r="C11" s="52" t="s">
        <v>42</v>
      </c>
      <c r="D11" s="53">
        <v>700</v>
      </c>
      <c r="E11" s="54">
        <v>6640.16</v>
      </c>
      <c r="F11" s="55">
        <v>26.5</v>
      </c>
      <c r="G11" s="56">
        <v>1835</v>
      </c>
      <c r="H11" s="54">
        <v>1000</v>
      </c>
      <c r="I11" s="54">
        <v>816</v>
      </c>
      <c r="J11" s="57"/>
      <c r="K11" s="54">
        <v>400</v>
      </c>
      <c r="L11" s="75">
        <v>825</v>
      </c>
      <c r="M11" s="54"/>
      <c r="N11" s="58">
        <v>1141.048</v>
      </c>
      <c r="O11" s="54">
        <v>875</v>
      </c>
      <c r="P11" s="54"/>
      <c r="Q11" s="59"/>
      <c r="R11" s="60">
        <v>307</v>
      </c>
      <c r="S11" s="61">
        <v>14552.669538461538</v>
      </c>
      <c r="T11" s="62"/>
      <c r="U11" s="63">
        <v>1698.3040000000001</v>
      </c>
      <c r="V11" s="53">
        <v>30</v>
      </c>
      <c r="W11" s="54"/>
      <c r="X11" s="54"/>
      <c r="Y11" s="64"/>
      <c r="Z11" s="64"/>
      <c r="AA11" s="65">
        <v>1728.3040000000001</v>
      </c>
      <c r="AB11" s="65">
        <v>12824.365538461538</v>
      </c>
      <c r="AC11" s="66"/>
      <c r="AD11" s="65">
        <v>12824.365538461538</v>
      </c>
      <c r="AE11" s="67">
        <v>6640.16</v>
      </c>
      <c r="AF11" s="73">
        <v>-359.84000000000015</v>
      </c>
      <c r="AG11" s="85">
        <v>-107.95200000000004</v>
      </c>
      <c r="AH11" s="173">
        <v>12536.621538461537</v>
      </c>
      <c r="AI11" s="73">
        <v>-2963.3784615384629</v>
      </c>
      <c r="AJ11" s="74">
        <v>-148.16892307692316</v>
      </c>
      <c r="AK11" s="73"/>
      <c r="AL11" s="74"/>
      <c r="AM11" s="73"/>
    </row>
    <row r="12" spans="1:39" s="1" customFormat="1" ht="33" customHeight="1" x14ac:dyDescent="0.25">
      <c r="A12" s="51">
        <v>5</v>
      </c>
      <c r="B12" s="52" t="s">
        <v>48</v>
      </c>
      <c r="C12" s="52" t="s">
        <v>42</v>
      </c>
      <c r="D12" s="53">
        <v>800</v>
      </c>
      <c r="E12" s="54">
        <v>3756.8</v>
      </c>
      <c r="F12" s="55">
        <v>25</v>
      </c>
      <c r="G12" s="56">
        <v>2850</v>
      </c>
      <c r="H12" s="54">
        <v>8647</v>
      </c>
      <c r="I12" s="54">
        <v>276</v>
      </c>
      <c r="J12" s="57"/>
      <c r="K12" s="54">
        <v>400</v>
      </c>
      <c r="L12" s="75">
        <v>200</v>
      </c>
      <c r="M12" s="54"/>
      <c r="N12" s="58">
        <v>1141.048</v>
      </c>
      <c r="O12" s="54"/>
      <c r="P12" s="54"/>
      <c r="Q12" s="59"/>
      <c r="R12" s="60">
        <v>30</v>
      </c>
      <c r="S12" s="61">
        <v>18070.078769230771</v>
      </c>
      <c r="T12" s="62"/>
      <c r="U12" s="63">
        <v>1698.3040000000001</v>
      </c>
      <c r="V12" s="53">
        <v>30</v>
      </c>
      <c r="W12" s="54"/>
      <c r="X12" s="54"/>
      <c r="Y12" s="64"/>
      <c r="Z12" s="64"/>
      <c r="AA12" s="65">
        <v>1728.3040000000001</v>
      </c>
      <c r="AB12" s="65">
        <v>16341.774769230771</v>
      </c>
      <c r="AC12" s="66"/>
      <c r="AD12" s="65">
        <v>16341.774769230771</v>
      </c>
      <c r="AE12" s="67">
        <v>3756.8</v>
      </c>
      <c r="AF12" s="73">
        <v>-3243.2</v>
      </c>
      <c r="AG12" s="85">
        <v>-972.95999999999992</v>
      </c>
      <c r="AH12" s="173">
        <v>16929.030769230772</v>
      </c>
      <c r="AI12" s="73">
        <v>-4770.9692307692276</v>
      </c>
      <c r="AJ12" s="175">
        <v>-238.5484615384614</v>
      </c>
      <c r="AK12" s="73"/>
      <c r="AL12" s="174" t="s">
        <v>116</v>
      </c>
      <c r="AM12" s="85">
        <v>21700</v>
      </c>
    </row>
    <row r="13" spans="1:39" s="1" customFormat="1" ht="33" customHeight="1" x14ac:dyDescent="0.25">
      <c r="A13" s="51">
        <v>6</v>
      </c>
      <c r="B13" s="76" t="s">
        <v>49</v>
      </c>
      <c r="C13" s="52" t="s">
        <v>42</v>
      </c>
      <c r="D13" s="53">
        <v>600</v>
      </c>
      <c r="E13" s="54">
        <v>5138.76</v>
      </c>
      <c r="F13" s="55">
        <v>24.5</v>
      </c>
      <c r="G13" s="56">
        <v>880</v>
      </c>
      <c r="H13" s="54">
        <v>1000</v>
      </c>
      <c r="I13" s="54">
        <v>707</v>
      </c>
      <c r="J13" s="57"/>
      <c r="K13" s="54">
        <v>250</v>
      </c>
      <c r="L13" s="75">
        <v>400</v>
      </c>
      <c r="M13" s="54"/>
      <c r="N13" s="58">
        <v>1141.048</v>
      </c>
      <c r="O13" s="54">
        <v>840</v>
      </c>
      <c r="P13" s="54">
        <v>100</v>
      </c>
      <c r="Q13" s="59"/>
      <c r="R13" s="60">
        <v>145</v>
      </c>
      <c r="S13" s="61">
        <v>11167.192615384616</v>
      </c>
      <c r="T13" s="62"/>
      <c r="U13" s="63">
        <v>1698.3040000000001</v>
      </c>
      <c r="V13" s="53">
        <v>30</v>
      </c>
      <c r="W13" s="54"/>
      <c r="X13" s="54">
        <v>129.35599999999999</v>
      </c>
      <c r="Y13" s="64"/>
      <c r="Z13" s="64"/>
      <c r="AA13" s="65">
        <v>1857.66</v>
      </c>
      <c r="AB13" s="65">
        <v>9309.5326153846163</v>
      </c>
      <c r="AC13" s="66"/>
      <c r="AD13" s="65">
        <v>9309.5326153846163</v>
      </c>
      <c r="AE13" s="67">
        <v>5138.76</v>
      </c>
      <c r="AF13" s="73">
        <v>-1861.2399999999998</v>
      </c>
      <c r="AG13" s="85">
        <v>-558.37199999999996</v>
      </c>
      <c r="AH13" s="173">
        <v>9186.1446153846155</v>
      </c>
      <c r="AI13" s="73">
        <v>-6313.8553846153845</v>
      </c>
      <c r="AJ13" s="74">
        <v>-315.69276923076927</v>
      </c>
      <c r="AK13" s="73"/>
      <c r="AL13" s="74"/>
      <c r="AM13" s="73"/>
    </row>
    <row r="14" spans="1:39" s="1" customFormat="1" ht="33" customHeight="1" x14ac:dyDescent="0.25">
      <c r="A14" s="51">
        <v>7</v>
      </c>
      <c r="B14" s="76" t="s">
        <v>50</v>
      </c>
      <c r="C14" s="52" t="s">
        <v>42</v>
      </c>
      <c r="D14" s="53">
        <v>200</v>
      </c>
      <c r="E14" s="54">
        <v>5497.44</v>
      </c>
      <c r="F14" s="55">
        <v>25.5</v>
      </c>
      <c r="G14" s="56">
        <v>1115</v>
      </c>
      <c r="H14" s="54">
        <v>1800</v>
      </c>
      <c r="I14" s="54">
        <v>884</v>
      </c>
      <c r="J14" s="57"/>
      <c r="K14" s="54">
        <v>250</v>
      </c>
      <c r="L14" s="75"/>
      <c r="M14" s="54"/>
      <c r="N14" s="58">
        <v>1141.048</v>
      </c>
      <c r="O14" s="54">
        <v>875</v>
      </c>
      <c r="P14" s="54"/>
      <c r="Q14" s="59"/>
      <c r="R14" s="60">
        <v>37</v>
      </c>
      <c r="S14" s="61">
        <v>11795.641846153845</v>
      </c>
      <c r="T14" s="62"/>
      <c r="U14" s="63">
        <v>1698.3040000000001</v>
      </c>
      <c r="V14" s="53">
        <v>30</v>
      </c>
      <c r="W14" s="54"/>
      <c r="X14" s="54"/>
      <c r="Y14" s="64"/>
      <c r="Z14" s="64"/>
      <c r="AA14" s="65">
        <v>1728.3040000000001</v>
      </c>
      <c r="AB14" s="65">
        <v>10067.337846153845</v>
      </c>
      <c r="AC14" s="66"/>
      <c r="AD14" s="65">
        <v>10067.337846153845</v>
      </c>
      <c r="AE14" s="67">
        <v>5497.44</v>
      </c>
      <c r="AF14" s="73">
        <v>-1502.5600000000004</v>
      </c>
      <c r="AG14" s="85">
        <v>-450.76800000000009</v>
      </c>
      <c r="AH14" s="173">
        <v>9779.5938461538444</v>
      </c>
      <c r="AI14" s="73">
        <v>-5720.4061538461556</v>
      </c>
      <c r="AJ14" s="74">
        <v>-286.02030769230777</v>
      </c>
      <c r="AK14" s="73"/>
      <c r="AL14" s="74"/>
      <c r="AM14" s="73"/>
    </row>
    <row r="15" spans="1:39" ht="33" customHeight="1" x14ac:dyDescent="0.25">
      <c r="A15" s="26" t="s">
        <v>54</v>
      </c>
      <c r="B15" s="31"/>
      <c r="C15" s="87"/>
      <c r="D15" s="62"/>
      <c r="E15" s="88">
        <v>40814.960000000006</v>
      </c>
      <c r="F15" s="89"/>
      <c r="G15" s="90">
        <v>9555</v>
      </c>
      <c r="H15" s="90">
        <v>24523</v>
      </c>
      <c r="I15" s="90">
        <v>5195</v>
      </c>
      <c r="J15" s="90">
        <v>0</v>
      </c>
      <c r="K15" s="90">
        <v>2150</v>
      </c>
      <c r="L15" s="90">
        <v>3250</v>
      </c>
      <c r="M15" s="90">
        <v>1500</v>
      </c>
      <c r="N15" s="90">
        <v>7987.3359999999993</v>
      </c>
      <c r="O15" s="90">
        <v>4410</v>
      </c>
      <c r="P15" s="90">
        <v>400</v>
      </c>
      <c r="Q15" s="90">
        <v>1564.8900000000003</v>
      </c>
      <c r="R15" s="90">
        <v>705</v>
      </c>
      <c r="S15" s="90">
        <v>106728.26292307694</v>
      </c>
      <c r="T15" s="90">
        <v>0</v>
      </c>
      <c r="U15" s="90">
        <v>11888.128000000001</v>
      </c>
      <c r="V15" s="90">
        <v>210</v>
      </c>
      <c r="W15" s="90">
        <v>0</v>
      </c>
      <c r="X15" s="90">
        <v>610.22500000000002</v>
      </c>
      <c r="Y15" s="90">
        <v>0</v>
      </c>
      <c r="Z15" s="90">
        <v>0</v>
      </c>
      <c r="AA15" s="90">
        <v>12708.352999999999</v>
      </c>
      <c r="AB15" s="90">
        <v>94019.909923076921</v>
      </c>
      <c r="AC15" s="90">
        <v>0</v>
      </c>
      <c r="AD15" s="90">
        <v>94019.909923076921</v>
      </c>
    </row>
    <row r="16" spans="1:39" ht="12" customHeight="1" x14ac:dyDescent="0.25">
      <c r="A16" s="91"/>
      <c r="B16" s="91"/>
      <c r="C16" s="92"/>
      <c r="D16" s="93"/>
      <c r="E16" s="94"/>
      <c r="F16" s="95"/>
      <c r="G16" s="93"/>
      <c r="H16" s="93"/>
      <c r="I16" s="96"/>
      <c r="J16" s="93"/>
      <c r="K16" s="93"/>
      <c r="L16" s="92"/>
      <c r="M16" s="93"/>
      <c r="N16" s="96"/>
      <c r="O16" s="96"/>
      <c r="P16" s="93"/>
      <c r="Q16" s="93"/>
      <c r="R16" s="93"/>
      <c r="S16" s="96"/>
      <c r="T16" s="93"/>
      <c r="U16" s="96"/>
      <c r="V16" s="93"/>
      <c r="W16" s="96"/>
      <c r="X16" s="93"/>
      <c r="Y16" s="93"/>
      <c r="Z16" s="93"/>
      <c r="AA16" s="96"/>
      <c r="AB16" s="96"/>
      <c r="AC16" s="93"/>
      <c r="AD16" s="96"/>
    </row>
    <row r="17" spans="1:36" ht="12" customHeight="1" x14ac:dyDescent="0.25">
      <c r="A17" s="91"/>
      <c r="B17" s="91"/>
      <c r="C17" s="92"/>
      <c r="D17" s="93"/>
      <c r="E17" s="94"/>
      <c r="F17" s="95"/>
      <c r="G17" s="93"/>
      <c r="H17" s="93"/>
      <c r="I17" s="96"/>
      <c r="J17" s="93"/>
      <c r="K17" s="93"/>
      <c r="L17" s="92"/>
      <c r="M17" s="93"/>
      <c r="N17" s="96"/>
      <c r="O17" s="96"/>
      <c r="P17" s="93"/>
      <c r="Q17" s="93"/>
      <c r="R17" s="93"/>
      <c r="S17" s="96"/>
      <c r="T17" s="93"/>
      <c r="Y17" s="93"/>
      <c r="Z17" s="97"/>
      <c r="AA17" s="96"/>
      <c r="AB17" s="96"/>
      <c r="AC17" s="93"/>
      <c r="AD17" s="96"/>
    </row>
    <row r="18" spans="1:36" x14ac:dyDescent="0.25">
      <c r="A18" s="1"/>
      <c r="B18" s="1"/>
      <c r="C18" s="15" t="s">
        <v>56</v>
      </c>
      <c r="D18" s="15"/>
      <c r="E18" s="15"/>
      <c r="F18" s="98"/>
      <c r="G18" s="1"/>
      <c r="H18" s="1"/>
      <c r="I18" s="1"/>
      <c r="J18" s="1"/>
      <c r="K18" s="1"/>
      <c r="M18" s="1"/>
      <c r="O18" s="32" t="s">
        <v>57</v>
      </c>
      <c r="P18" s="1"/>
      <c r="Q18" s="1"/>
      <c r="R18" s="1"/>
      <c r="S18" s="99"/>
      <c r="T18" s="1"/>
      <c r="U18" s="1"/>
      <c r="V18" s="1"/>
      <c r="X18" s="1"/>
      <c r="Y18" s="1"/>
      <c r="Z18" s="1"/>
      <c r="AA18" s="32" t="s">
        <v>58</v>
      </c>
      <c r="AD18" s="1"/>
    </row>
    <row r="19" spans="1:36" x14ac:dyDescent="0.25">
      <c r="B19" s="1"/>
      <c r="D19" s="6"/>
      <c r="H19" s="67"/>
      <c r="O19" s="6"/>
      <c r="S19" s="100"/>
      <c r="T19" s="100"/>
      <c r="X19" s="101"/>
      <c r="AA19" s="6"/>
      <c r="AJ19" s="67"/>
    </row>
    <row r="20" spans="1:36" x14ac:dyDescent="0.25">
      <c r="B20" s="1"/>
      <c r="D20" s="6"/>
      <c r="J20" s="67"/>
      <c r="O20" s="6"/>
      <c r="S20" s="102"/>
      <c r="T20" s="100"/>
      <c r="U20" s="103"/>
      <c r="AA20" s="6"/>
      <c r="AB20" s="74"/>
      <c r="AC20" s="74"/>
    </row>
    <row r="21" spans="1:36" x14ac:dyDescent="0.25">
      <c r="B21" s="1"/>
      <c r="D21" s="6"/>
      <c r="O21" s="6"/>
      <c r="S21" s="104"/>
      <c r="T21" s="100"/>
      <c r="U21" s="103"/>
      <c r="AA21" s="6"/>
      <c r="AH21" s="67"/>
    </row>
    <row r="22" spans="1:36" s="112" customFormat="1" ht="12.75" x14ac:dyDescent="0.25">
      <c r="A22" s="105"/>
      <c r="B22" s="105"/>
      <c r="C22" s="105"/>
      <c r="D22" s="106" t="s">
        <v>59</v>
      </c>
      <c r="E22" s="107"/>
      <c r="F22" s="108"/>
      <c r="G22" s="105"/>
      <c r="H22" s="105"/>
      <c r="I22" s="105"/>
      <c r="J22" s="105"/>
      <c r="K22" s="105"/>
      <c r="L22" s="109"/>
      <c r="M22" s="105"/>
      <c r="N22" s="110" t="s">
        <v>60</v>
      </c>
      <c r="O22" s="110"/>
      <c r="P22" s="110"/>
      <c r="Q22" s="105"/>
      <c r="R22" s="105"/>
      <c r="S22" s="111"/>
      <c r="T22" s="105"/>
      <c r="U22" s="105"/>
      <c r="V22" s="105"/>
      <c r="X22" s="105"/>
      <c r="Y22" s="105"/>
      <c r="Z22" s="105"/>
      <c r="AA22" s="106" t="s">
        <v>61</v>
      </c>
      <c r="AB22" s="105"/>
      <c r="AC22" s="105"/>
      <c r="AD22" s="113"/>
      <c r="AH22" s="114"/>
    </row>
    <row r="23" spans="1:36" x14ac:dyDescent="0.25">
      <c r="A23" s="1"/>
      <c r="B23" s="1"/>
      <c r="C23" s="1"/>
      <c r="D23" s="1"/>
      <c r="E23" s="73"/>
      <c r="F23" s="98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15"/>
      <c r="T23" s="1"/>
      <c r="U23" s="1"/>
      <c r="V23" s="1"/>
      <c r="W23" s="1"/>
      <c r="X23" s="1"/>
      <c r="Y23" s="1"/>
      <c r="Z23" s="1"/>
      <c r="AD23" s="1"/>
      <c r="AE23" s="103"/>
      <c r="AF23" s="67"/>
      <c r="AH23" s="67"/>
    </row>
    <row r="24" spans="1:36" x14ac:dyDescent="0.25">
      <c r="A24" s="1"/>
      <c r="B24" s="1"/>
      <c r="C24" s="1"/>
      <c r="D24" s="1"/>
      <c r="E24" s="73"/>
      <c r="F24" s="98"/>
      <c r="G24" s="1"/>
      <c r="H24" s="1"/>
      <c r="I24" s="1"/>
      <c r="J24" s="116"/>
      <c r="K24" s="1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D24" s="1"/>
      <c r="AH24" s="67"/>
    </row>
    <row r="25" spans="1:36" x14ac:dyDescent="0.25">
      <c r="A25" s="1"/>
      <c r="B25" s="1"/>
      <c r="C25" s="1"/>
      <c r="D25" s="1"/>
      <c r="E25" s="73"/>
      <c r="F25" s="98"/>
      <c r="G25" s="1"/>
      <c r="H25" s="1"/>
      <c r="I25" s="1"/>
      <c r="J25" s="1"/>
      <c r="K25" s="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D25" s="1"/>
      <c r="AH25" s="67"/>
    </row>
    <row r="26" spans="1:36" x14ac:dyDescent="0.25">
      <c r="A26" s="1"/>
      <c r="B26" s="1"/>
      <c r="C26" s="1"/>
      <c r="D26" s="1"/>
      <c r="E26" s="73"/>
      <c r="F26" s="98"/>
      <c r="G26" s="1"/>
      <c r="H26" s="1"/>
      <c r="I26" s="1"/>
      <c r="J26" s="1"/>
      <c r="K26" s="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D26" s="1"/>
      <c r="AF26" s="67"/>
      <c r="AH26" s="67"/>
    </row>
    <row r="27" spans="1:36" s="1" customFormat="1" x14ac:dyDescent="0.25">
      <c r="E27" s="73"/>
      <c r="F27" s="98"/>
      <c r="L27" s="32"/>
      <c r="AH27" s="67"/>
    </row>
    <row r="28" spans="1:36" x14ac:dyDescent="0.25">
      <c r="AH28" s="67"/>
    </row>
    <row r="29" spans="1:36" x14ac:dyDescent="0.25">
      <c r="W29" s="103"/>
      <c r="AH29" s="67"/>
    </row>
    <row r="30" spans="1:36" x14ac:dyDescent="0.25">
      <c r="W30" s="103"/>
      <c r="AH30" s="67"/>
    </row>
    <row r="31" spans="1:36" x14ac:dyDescent="0.25">
      <c r="A31" s="8"/>
      <c r="B31" s="8"/>
      <c r="O31" s="103"/>
      <c r="AH31" s="67"/>
    </row>
    <row r="32" spans="1:36" x14ac:dyDescent="0.25">
      <c r="A32" s="8"/>
      <c r="B32" s="8"/>
      <c r="S32" s="8"/>
      <c r="T32" s="8"/>
      <c r="U32" s="8"/>
      <c r="V32" s="8"/>
      <c r="W32" s="8"/>
      <c r="X32" s="8"/>
      <c r="AA32" s="8"/>
      <c r="AB32" s="8"/>
      <c r="AC32" s="8"/>
      <c r="AD32" s="8"/>
      <c r="AH32" s="67"/>
    </row>
    <row r="33" spans="1:37" x14ac:dyDescent="0.25">
      <c r="A33" s="8"/>
      <c r="B33" s="8"/>
      <c r="AH33" s="67"/>
    </row>
    <row r="34" spans="1:37" s="8" customFormat="1" ht="15" customHeight="1" x14ac:dyDescent="0.25">
      <c r="C34" s="6"/>
      <c r="D34" s="4"/>
      <c r="F34" s="117"/>
      <c r="I34" s="118"/>
      <c r="L34" s="6"/>
      <c r="M34" s="4"/>
      <c r="N34" s="4"/>
      <c r="O34" s="4"/>
      <c r="P34" s="4"/>
      <c r="Q34" s="4"/>
      <c r="R34" s="4"/>
      <c r="S34" s="7"/>
      <c r="T34" s="7"/>
      <c r="U34" s="4"/>
      <c r="V34" s="4"/>
      <c r="W34" s="4"/>
      <c r="X34" s="4"/>
      <c r="AA34" s="1"/>
      <c r="AB34" s="1"/>
      <c r="AC34" s="1"/>
      <c r="AD34" s="4"/>
      <c r="AE34" s="4"/>
      <c r="AH34" s="67"/>
    </row>
    <row r="35" spans="1:37" s="8" customFormat="1" ht="15" customHeight="1" x14ac:dyDescent="0.25">
      <c r="A35" s="6"/>
      <c r="C35" s="6"/>
      <c r="D35" s="4"/>
      <c r="F35" s="117"/>
      <c r="I35" s="118"/>
      <c r="L35" s="6"/>
      <c r="M35" s="4"/>
      <c r="N35" s="4"/>
      <c r="O35" s="4"/>
      <c r="P35" s="4"/>
      <c r="Q35" s="4"/>
      <c r="R35" s="4"/>
      <c r="S35" s="7"/>
      <c r="T35" s="7"/>
      <c r="U35" s="4"/>
      <c r="V35" s="4"/>
      <c r="W35" s="4"/>
      <c r="X35" s="4"/>
      <c r="AA35" s="1"/>
      <c r="AB35" s="1"/>
      <c r="AC35" s="1"/>
      <c r="AD35" s="4"/>
      <c r="AE35" s="4"/>
      <c r="AH35" s="67"/>
    </row>
    <row r="36" spans="1:37" s="8" customFormat="1" ht="15" customHeight="1" x14ac:dyDescent="0.25">
      <c r="A36" s="6"/>
      <c r="B36" s="4"/>
      <c r="C36" s="6"/>
      <c r="D36" s="4"/>
      <c r="F36" s="117"/>
      <c r="I36" s="118"/>
      <c r="L36" s="6"/>
      <c r="M36" s="4"/>
      <c r="N36" s="4"/>
      <c r="O36" s="4"/>
      <c r="P36" s="4"/>
      <c r="Q36" s="4"/>
      <c r="R36" s="4"/>
      <c r="S36" s="7"/>
      <c r="T36" s="7"/>
      <c r="U36" s="4"/>
      <c r="V36" s="4"/>
      <c r="W36" s="4"/>
      <c r="X36" s="4"/>
      <c r="AA36" s="1"/>
      <c r="AB36" s="1"/>
      <c r="AC36" s="1"/>
      <c r="AD36" s="4"/>
      <c r="AE36" s="4"/>
      <c r="AH36" s="67"/>
    </row>
    <row r="37" spans="1:37" s="8" customFormat="1" x14ac:dyDescent="0.25">
      <c r="A37" s="6"/>
      <c r="B37" s="4"/>
      <c r="C37" s="6"/>
      <c r="D37" s="4"/>
      <c r="F37" s="117"/>
      <c r="I37" s="118"/>
      <c r="L37" s="6"/>
      <c r="M37" s="4"/>
      <c r="N37" s="4"/>
      <c r="O37" s="4"/>
      <c r="P37" s="4"/>
      <c r="Q37" s="4"/>
      <c r="R37" s="4"/>
      <c r="S37" s="7"/>
      <c r="T37" s="7"/>
      <c r="U37" s="4"/>
      <c r="V37" s="4"/>
      <c r="W37" s="4"/>
      <c r="X37" s="4"/>
      <c r="AA37" s="1"/>
      <c r="AB37" s="1"/>
      <c r="AC37" s="1"/>
      <c r="AD37" s="4"/>
      <c r="AE37" s="4"/>
      <c r="AH37" s="67"/>
    </row>
    <row r="38" spans="1:37" s="8" customFormat="1" x14ac:dyDescent="0.25">
      <c r="A38" s="6"/>
      <c r="B38" s="4"/>
      <c r="C38" s="6"/>
      <c r="D38" s="4"/>
      <c r="F38" s="11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7"/>
      <c r="T38" s="7"/>
      <c r="U38" s="4"/>
      <c r="V38" s="4"/>
      <c r="W38" s="4"/>
      <c r="X38" s="4"/>
      <c r="AA38" s="1"/>
      <c r="AB38" s="1"/>
      <c r="AC38" s="1"/>
      <c r="AD38" s="4"/>
      <c r="AE38" s="4"/>
      <c r="AF38" s="119"/>
      <c r="AG38" s="4"/>
      <c r="AH38" s="67"/>
      <c r="AI38" s="4"/>
      <c r="AJ38" s="4"/>
      <c r="AK38" s="4"/>
    </row>
    <row r="39" spans="1:37" s="8" customFormat="1" x14ac:dyDescent="0.25">
      <c r="A39" s="6"/>
      <c r="B39" s="4"/>
      <c r="C39" s="6"/>
      <c r="D39" s="4"/>
      <c r="F39" s="11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7"/>
      <c r="T39" s="7"/>
      <c r="U39" s="4"/>
      <c r="V39" s="4"/>
      <c r="W39" s="4"/>
      <c r="X39" s="4"/>
      <c r="AA39" s="1"/>
      <c r="AB39" s="1"/>
      <c r="AC39" s="1"/>
      <c r="AD39" s="4"/>
      <c r="AE39" s="4"/>
      <c r="AF39" s="4"/>
      <c r="AG39" s="4"/>
      <c r="AH39" s="67"/>
      <c r="AI39" s="4"/>
    </row>
    <row r="40" spans="1:37" s="8" customFormat="1" x14ac:dyDescent="0.25">
      <c r="A40" s="6"/>
      <c r="B40" s="4"/>
      <c r="C40" s="6"/>
      <c r="D40" s="4"/>
      <c r="F40" s="11"/>
      <c r="G40" s="4"/>
      <c r="H40" s="4"/>
      <c r="I40" s="5"/>
      <c r="J40" s="4"/>
      <c r="K40" s="4"/>
      <c r="L40" s="6"/>
      <c r="M40" s="4"/>
      <c r="N40" s="4"/>
      <c r="O40" s="4"/>
      <c r="P40" s="4"/>
      <c r="Q40" s="4"/>
      <c r="R40" s="4"/>
      <c r="S40" s="7"/>
      <c r="T40" s="7"/>
      <c r="U40" s="4"/>
      <c r="V40" s="4"/>
      <c r="W40" s="4"/>
      <c r="X40" s="4"/>
      <c r="AA40" s="1"/>
      <c r="AB40" s="1"/>
      <c r="AC40" s="1"/>
      <c r="AD40" s="4"/>
      <c r="AE40" s="4"/>
      <c r="AF40" s="4"/>
      <c r="AG40" s="4"/>
      <c r="AH40" s="67"/>
      <c r="AI40" s="4"/>
    </row>
    <row r="41" spans="1:37" s="8" customFormat="1" x14ac:dyDescent="0.25">
      <c r="B41" s="4"/>
      <c r="F41" s="117"/>
      <c r="I41" s="118"/>
      <c r="L41" s="121"/>
      <c r="S41" s="7"/>
      <c r="T41" s="7"/>
      <c r="U41" s="4"/>
      <c r="V41" s="4"/>
      <c r="W41" s="4"/>
      <c r="X41" s="4"/>
      <c r="AA41" s="1"/>
      <c r="AB41" s="1"/>
      <c r="AC41" s="1"/>
      <c r="AD41" s="4"/>
      <c r="AE41" s="4"/>
      <c r="AF41" s="4"/>
      <c r="AG41" s="4"/>
      <c r="AH41" s="67"/>
      <c r="AI41" s="4"/>
    </row>
    <row r="42" spans="1:37" x14ac:dyDescent="0.25">
      <c r="AH42" s="67"/>
    </row>
    <row r="43" spans="1:37" s="8" customFormat="1" x14ac:dyDescent="0.25">
      <c r="A43" s="6"/>
      <c r="B43" s="4"/>
      <c r="C43" s="6"/>
      <c r="D43" s="4"/>
      <c r="F43" s="11"/>
      <c r="G43" s="4"/>
      <c r="H43" s="4"/>
      <c r="I43" s="5"/>
      <c r="J43" s="4"/>
      <c r="K43" s="4"/>
      <c r="L43" s="6"/>
      <c r="M43" s="4"/>
      <c r="N43" s="4"/>
      <c r="O43" s="4"/>
      <c r="P43" s="4"/>
      <c r="Q43" s="4"/>
      <c r="R43" s="4"/>
      <c r="S43" s="7"/>
      <c r="T43" s="7"/>
      <c r="U43" s="4"/>
      <c r="V43" s="4"/>
      <c r="W43" s="4"/>
      <c r="X43" s="4"/>
      <c r="AA43" s="1"/>
      <c r="AB43" s="1"/>
      <c r="AC43" s="1"/>
      <c r="AD43" s="4"/>
      <c r="AE43" s="4"/>
      <c r="AF43" s="4"/>
      <c r="AG43" s="4"/>
      <c r="AH43" s="67"/>
      <c r="AI43" s="4"/>
    </row>
    <row r="44" spans="1:37" x14ac:dyDescent="0.25">
      <c r="AH44" s="67"/>
    </row>
    <row r="45" spans="1:37" x14ac:dyDescent="0.25">
      <c r="AH45" s="67"/>
    </row>
    <row r="46" spans="1:37" x14ac:dyDescent="0.25">
      <c r="AH46" s="67"/>
    </row>
    <row r="47" spans="1:37" x14ac:dyDescent="0.25">
      <c r="AH47" s="67"/>
    </row>
    <row r="48" spans="1:37" x14ac:dyDescent="0.25">
      <c r="AH48" s="67"/>
    </row>
    <row r="49" spans="2:34" x14ac:dyDescent="0.25">
      <c r="AH49" s="67"/>
    </row>
    <row r="50" spans="2:34" x14ac:dyDescent="0.25">
      <c r="AH50" s="67"/>
    </row>
    <row r="51" spans="2:34" x14ac:dyDescent="0.25">
      <c r="AH51" s="67"/>
    </row>
    <row r="52" spans="2:34" x14ac:dyDescent="0.25">
      <c r="AH52" s="67"/>
    </row>
    <row r="55" spans="2:34" x14ac:dyDescent="0.25">
      <c r="B55" s="103"/>
      <c r="E55" s="122"/>
      <c r="F55" s="122"/>
    </row>
    <row r="60" spans="2:34" x14ac:dyDescent="0.25">
      <c r="V60" s="123"/>
    </row>
    <row r="91" spans="1:35" s="6" customFormat="1" x14ac:dyDescent="0.25">
      <c r="B91" s="4"/>
      <c r="D91" s="4"/>
      <c r="E91" s="8"/>
      <c r="F91" s="11"/>
      <c r="G91" s="4"/>
      <c r="H91" s="4"/>
      <c r="I91" s="5"/>
      <c r="J91" s="4"/>
      <c r="K91" s="4"/>
      <c r="M91" s="4"/>
      <c r="N91" s="4"/>
      <c r="O91" s="4"/>
      <c r="P91" s="4"/>
      <c r="Q91" s="4"/>
      <c r="R91" s="4"/>
      <c r="S91" s="7"/>
      <c r="T91" s="7"/>
      <c r="U91" s="4"/>
      <c r="V91" s="4"/>
      <c r="W91" s="4"/>
      <c r="X91" s="4"/>
      <c r="Y91" s="8"/>
      <c r="Z91" s="8"/>
      <c r="AA91" s="1"/>
      <c r="AB91" s="1"/>
      <c r="AC91" s="1"/>
      <c r="AD91" s="4"/>
      <c r="AE91" s="4"/>
      <c r="AF91" s="4"/>
      <c r="AG91" s="4"/>
      <c r="AH91" s="4"/>
      <c r="AI91" s="4"/>
    </row>
    <row r="92" spans="1:35" x14ac:dyDescent="0.25">
      <c r="B92" s="124"/>
    </row>
    <row r="95" spans="1:35" s="6" customFormat="1" x14ac:dyDescent="0.25">
      <c r="B95" s="4"/>
      <c r="D95" s="4"/>
      <c r="E95" s="8"/>
      <c r="F95" s="11"/>
      <c r="G95" s="4"/>
      <c r="H95" s="4"/>
      <c r="I95" s="5"/>
      <c r="J95" s="4"/>
      <c r="K95" s="4"/>
      <c r="M95" s="4"/>
      <c r="N95" s="4"/>
      <c r="O95" s="4"/>
      <c r="P95" s="4"/>
      <c r="Q95" s="4"/>
      <c r="R95" s="4"/>
      <c r="S95" s="7"/>
      <c r="T95" s="7"/>
      <c r="U95" s="4"/>
      <c r="V95" s="4"/>
      <c r="W95" s="4"/>
      <c r="X95" s="4"/>
      <c r="Y95" s="8"/>
      <c r="Z95" s="8"/>
      <c r="AA95" s="1"/>
      <c r="AB95" s="1"/>
      <c r="AC95" s="1"/>
      <c r="AD95" s="4"/>
      <c r="AE95" s="4"/>
      <c r="AF95" s="4"/>
      <c r="AG95" s="4"/>
      <c r="AH95" s="4"/>
      <c r="AI95" s="4"/>
    </row>
    <row r="96" spans="1:35" x14ac:dyDescent="0.25">
      <c r="A96" s="51"/>
    </row>
  </sheetData>
  <mergeCells count="40">
    <mergeCell ref="A15:B15"/>
    <mergeCell ref="C18:E18"/>
    <mergeCell ref="N22:P22"/>
    <mergeCell ref="E55:F55"/>
    <mergeCell ref="AD5:AD7"/>
    <mergeCell ref="K6:K7"/>
    <mergeCell ref="L6:L7"/>
    <mergeCell ref="M6:M7"/>
    <mergeCell ref="N6:N7"/>
    <mergeCell ref="O6:O7"/>
    <mergeCell ref="P6:P7"/>
    <mergeCell ref="R6:R7"/>
    <mergeCell ref="U6:U7"/>
    <mergeCell ref="V6:V7"/>
    <mergeCell ref="S5:S7"/>
    <mergeCell ref="T5:T7"/>
    <mergeCell ref="U5:Z5"/>
    <mergeCell ref="AA5:AA7"/>
    <mergeCell ref="AB5:AB7"/>
    <mergeCell ref="AC5:AC7"/>
    <mergeCell ref="W6:W7"/>
    <mergeCell ref="X6:X7"/>
    <mergeCell ref="Y6:Y7"/>
    <mergeCell ref="Z6:Z7"/>
    <mergeCell ref="G5:G7"/>
    <mergeCell ref="H5:H7"/>
    <mergeCell ref="I5:I7"/>
    <mergeCell ref="J5:J7"/>
    <mergeCell ref="K5:P5"/>
    <mergeCell ref="Q5:Q7"/>
    <mergeCell ref="A2:E2"/>
    <mergeCell ref="T2:U2"/>
    <mergeCell ref="A3:AD3"/>
    <mergeCell ref="A4:AD4"/>
    <mergeCell ref="A5:A7"/>
    <mergeCell ref="B5:B7"/>
    <mergeCell ref="C5:C7"/>
    <mergeCell ref="D5:D7"/>
    <mergeCell ref="E5:E7"/>
    <mergeCell ref="F5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33"/>
  <sheetViews>
    <sheetView workbookViewId="0">
      <selection activeCell="U24" sqref="U24"/>
    </sheetView>
  </sheetViews>
  <sheetFormatPr defaultColWidth="13.28515625" defaultRowHeight="15" x14ac:dyDescent="0.25"/>
  <cols>
    <col min="1" max="1" width="13.28515625" customWidth="1"/>
    <col min="2" max="2" width="8" hidden="1" customWidth="1"/>
    <col min="3" max="3" width="9.28515625" customWidth="1"/>
    <col min="4" max="4" width="8" customWidth="1"/>
    <col min="5" max="5" width="11" customWidth="1"/>
    <col min="6" max="6" width="10.28515625" customWidth="1"/>
    <col min="7" max="7" width="9.85546875" hidden="1" customWidth="1"/>
    <col min="8" max="8" width="8" customWidth="1"/>
    <col min="9" max="9" width="10.28515625" customWidth="1"/>
    <col min="10" max="10" width="10" hidden="1" customWidth="1"/>
    <col min="11" max="12" width="9.140625" hidden="1" customWidth="1"/>
    <col min="13" max="13" width="10.85546875" hidden="1" customWidth="1"/>
    <col min="14" max="15" width="10.85546875" customWidth="1"/>
    <col min="16" max="231" width="9.140625" customWidth="1"/>
    <col min="257" max="257" width="13.28515625" customWidth="1"/>
    <col min="258" max="258" width="0" hidden="1" customWidth="1"/>
    <col min="259" max="259" width="9.28515625" customWidth="1"/>
    <col min="260" max="260" width="8" customWidth="1"/>
    <col min="261" max="261" width="11" customWidth="1"/>
    <col min="262" max="262" width="10.28515625" customWidth="1"/>
    <col min="263" max="263" width="0" hidden="1" customWidth="1"/>
    <col min="264" max="264" width="8" customWidth="1"/>
    <col min="265" max="265" width="10.28515625" customWidth="1"/>
    <col min="266" max="269" width="0" hidden="1" customWidth="1"/>
    <col min="270" max="271" width="10.85546875" customWidth="1"/>
    <col min="272" max="487" width="9.140625" customWidth="1"/>
    <col min="513" max="513" width="13.28515625" customWidth="1"/>
    <col min="514" max="514" width="0" hidden="1" customWidth="1"/>
    <col min="515" max="515" width="9.28515625" customWidth="1"/>
    <col min="516" max="516" width="8" customWidth="1"/>
    <col min="517" max="517" width="11" customWidth="1"/>
    <col min="518" max="518" width="10.28515625" customWidth="1"/>
    <col min="519" max="519" width="0" hidden="1" customWidth="1"/>
    <col min="520" max="520" width="8" customWidth="1"/>
    <col min="521" max="521" width="10.28515625" customWidth="1"/>
    <col min="522" max="525" width="0" hidden="1" customWidth="1"/>
    <col min="526" max="527" width="10.85546875" customWidth="1"/>
    <col min="528" max="743" width="9.140625" customWidth="1"/>
    <col min="769" max="769" width="13.28515625" customWidth="1"/>
    <col min="770" max="770" width="0" hidden="1" customWidth="1"/>
    <col min="771" max="771" width="9.28515625" customWidth="1"/>
    <col min="772" max="772" width="8" customWidth="1"/>
    <col min="773" max="773" width="11" customWidth="1"/>
    <col min="774" max="774" width="10.28515625" customWidth="1"/>
    <col min="775" max="775" width="0" hidden="1" customWidth="1"/>
    <col min="776" max="776" width="8" customWidth="1"/>
    <col min="777" max="777" width="10.28515625" customWidth="1"/>
    <col min="778" max="781" width="0" hidden="1" customWidth="1"/>
    <col min="782" max="783" width="10.85546875" customWidth="1"/>
    <col min="784" max="999" width="9.140625" customWidth="1"/>
    <col min="1025" max="1025" width="13.28515625" customWidth="1"/>
    <col min="1026" max="1026" width="0" hidden="1" customWidth="1"/>
    <col min="1027" max="1027" width="9.28515625" customWidth="1"/>
    <col min="1028" max="1028" width="8" customWidth="1"/>
    <col min="1029" max="1029" width="11" customWidth="1"/>
    <col min="1030" max="1030" width="10.28515625" customWidth="1"/>
    <col min="1031" max="1031" width="0" hidden="1" customWidth="1"/>
    <col min="1032" max="1032" width="8" customWidth="1"/>
    <col min="1033" max="1033" width="10.28515625" customWidth="1"/>
    <col min="1034" max="1037" width="0" hidden="1" customWidth="1"/>
    <col min="1038" max="1039" width="10.85546875" customWidth="1"/>
    <col min="1040" max="1255" width="9.140625" customWidth="1"/>
    <col min="1281" max="1281" width="13.28515625" customWidth="1"/>
    <col min="1282" max="1282" width="0" hidden="1" customWidth="1"/>
    <col min="1283" max="1283" width="9.28515625" customWidth="1"/>
    <col min="1284" max="1284" width="8" customWidth="1"/>
    <col min="1285" max="1285" width="11" customWidth="1"/>
    <col min="1286" max="1286" width="10.28515625" customWidth="1"/>
    <col min="1287" max="1287" width="0" hidden="1" customWidth="1"/>
    <col min="1288" max="1288" width="8" customWidth="1"/>
    <col min="1289" max="1289" width="10.28515625" customWidth="1"/>
    <col min="1290" max="1293" width="0" hidden="1" customWidth="1"/>
    <col min="1294" max="1295" width="10.85546875" customWidth="1"/>
    <col min="1296" max="1511" width="9.140625" customWidth="1"/>
    <col min="1537" max="1537" width="13.28515625" customWidth="1"/>
    <col min="1538" max="1538" width="0" hidden="1" customWidth="1"/>
    <col min="1539" max="1539" width="9.28515625" customWidth="1"/>
    <col min="1540" max="1540" width="8" customWidth="1"/>
    <col min="1541" max="1541" width="11" customWidth="1"/>
    <col min="1542" max="1542" width="10.28515625" customWidth="1"/>
    <col min="1543" max="1543" width="0" hidden="1" customWidth="1"/>
    <col min="1544" max="1544" width="8" customWidth="1"/>
    <col min="1545" max="1545" width="10.28515625" customWidth="1"/>
    <col min="1546" max="1549" width="0" hidden="1" customWidth="1"/>
    <col min="1550" max="1551" width="10.85546875" customWidth="1"/>
    <col min="1552" max="1767" width="9.140625" customWidth="1"/>
    <col min="1793" max="1793" width="13.28515625" customWidth="1"/>
    <col min="1794" max="1794" width="0" hidden="1" customWidth="1"/>
    <col min="1795" max="1795" width="9.28515625" customWidth="1"/>
    <col min="1796" max="1796" width="8" customWidth="1"/>
    <col min="1797" max="1797" width="11" customWidth="1"/>
    <col min="1798" max="1798" width="10.28515625" customWidth="1"/>
    <col min="1799" max="1799" width="0" hidden="1" customWidth="1"/>
    <col min="1800" max="1800" width="8" customWidth="1"/>
    <col min="1801" max="1801" width="10.28515625" customWidth="1"/>
    <col min="1802" max="1805" width="0" hidden="1" customWidth="1"/>
    <col min="1806" max="1807" width="10.85546875" customWidth="1"/>
    <col min="1808" max="2023" width="9.140625" customWidth="1"/>
    <col min="2049" max="2049" width="13.28515625" customWidth="1"/>
    <col min="2050" max="2050" width="0" hidden="1" customWidth="1"/>
    <col min="2051" max="2051" width="9.28515625" customWidth="1"/>
    <col min="2052" max="2052" width="8" customWidth="1"/>
    <col min="2053" max="2053" width="11" customWidth="1"/>
    <col min="2054" max="2054" width="10.28515625" customWidth="1"/>
    <col min="2055" max="2055" width="0" hidden="1" customWidth="1"/>
    <col min="2056" max="2056" width="8" customWidth="1"/>
    <col min="2057" max="2057" width="10.28515625" customWidth="1"/>
    <col min="2058" max="2061" width="0" hidden="1" customWidth="1"/>
    <col min="2062" max="2063" width="10.85546875" customWidth="1"/>
    <col min="2064" max="2279" width="9.140625" customWidth="1"/>
    <col min="2305" max="2305" width="13.28515625" customWidth="1"/>
    <col min="2306" max="2306" width="0" hidden="1" customWidth="1"/>
    <col min="2307" max="2307" width="9.28515625" customWidth="1"/>
    <col min="2308" max="2308" width="8" customWidth="1"/>
    <col min="2309" max="2309" width="11" customWidth="1"/>
    <col min="2310" max="2310" width="10.28515625" customWidth="1"/>
    <col min="2311" max="2311" width="0" hidden="1" customWidth="1"/>
    <col min="2312" max="2312" width="8" customWidth="1"/>
    <col min="2313" max="2313" width="10.28515625" customWidth="1"/>
    <col min="2314" max="2317" width="0" hidden="1" customWidth="1"/>
    <col min="2318" max="2319" width="10.85546875" customWidth="1"/>
    <col min="2320" max="2535" width="9.140625" customWidth="1"/>
    <col min="2561" max="2561" width="13.28515625" customWidth="1"/>
    <col min="2562" max="2562" width="0" hidden="1" customWidth="1"/>
    <col min="2563" max="2563" width="9.28515625" customWidth="1"/>
    <col min="2564" max="2564" width="8" customWidth="1"/>
    <col min="2565" max="2565" width="11" customWidth="1"/>
    <col min="2566" max="2566" width="10.28515625" customWidth="1"/>
    <col min="2567" max="2567" width="0" hidden="1" customWidth="1"/>
    <col min="2568" max="2568" width="8" customWidth="1"/>
    <col min="2569" max="2569" width="10.28515625" customWidth="1"/>
    <col min="2570" max="2573" width="0" hidden="1" customWidth="1"/>
    <col min="2574" max="2575" width="10.85546875" customWidth="1"/>
    <col min="2576" max="2791" width="9.140625" customWidth="1"/>
    <col min="2817" max="2817" width="13.28515625" customWidth="1"/>
    <col min="2818" max="2818" width="0" hidden="1" customWidth="1"/>
    <col min="2819" max="2819" width="9.28515625" customWidth="1"/>
    <col min="2820" max="2820" width="8" customWidth="1"/>
    <col min="2821" max="2821" width="11" customWidth="1"/>
    <col min="2822" max="2822" width="10.28515625" customWidth="1"/>
    <col min="2823" max="2823" width="0" hidden="1" customWidth="1"/>
    <col min="2824" max="2824" width="8" customWidth="1"/>
    <col min="2825" max="2825" width="10.28515625" customWidth="1"/>
    <col min="2826" max="2829" width="0" hidden="1" customWidth="1"/>
    <col min="2830" max="2831" width="10.85546875" customWidth="1"/>
    <col min="2832" max="3047" width="9.140625" customWidth="1"/>
    <col min="3073" max="3073" width="13.28515625" customWidth="1"/>
    <col min="3074" max="3074" width="0" hidden="1" customWidth="1"/>
    <col min="3075" max="3075" width="9.28515625" customWidth="1"/>
    <col min="3076" max="3076" width="8" customWidth="1"/>
    <col min="3077" max="3077" width="11" customWidth="1"/>
    <col min="3078" max="3078" width="10.28515625" customWidth="1"/>
    <col min="3079" max="3079" width="0" hidden="1" customWidth="1"/>
    <col min="3080" max="3080" width="8" customWidth="1"/>
    <col min="3081" max="3081" width="10.28515625" customWidth="1"/>
    <col min="3082" max="3085" width="0" hidden="1" customWidth="1"/>
    <col min="3086" max="3087" width="10.85546875" customWidth="1"/>
    <col min="3088" max="3303" width="9.140625" customWidth="1"/>
    <col min="3329" max="3329" width="13.28515625" customWidth="1"/>
    <col min="3330" max="3330" width="0" hidden="1" customWidth="1"/>
    <col min="3331" max="3331" width="9.28515625" customWidth="1"/>
    <col min="3332" max="3332" width="8" customWidth="1"/>
    <col min="3333" max="3333" width="11" customWidth="1"/>
    <col min="3334" max="3334" width="10.28515625" customWidth="1"/>
    <col min="3335" max="3335" width="0" hidden="1" customWidth="1"/>
    <col min="3336" max="3336" width="8" customWidth="1"/>
    <col min="3337" max="3337" width="10.28515625" customWidth="1"/>
    <col min="3338" max="3341" width="0" hidden="1" customWidth="1"/>
    <col min="3342" max="3343" width="10.85546875" customWidth="1"/>
    <col min="3344" max="3559" width="9.140625" customWidth="1"/>
    <col min="3585" max="3585" width="13.28515625" customWidth="1"/>
    <col min="3586" max="3586" width="0" hidden="1" customWidth="1"/>
    <col min="3587" max="3587" width="9.28515625" customWidth="1"/>
    <col min="3588" max="3588" width="8" customWidth="1"/>
    <col min="3589" max="3589" width="11" customWidth="1"/>
    <col min="3590" max="3590" width="10.28515625" customWidth="1"/>
    <col min="3591" max="3591" width="0" hidden="1" customWidth="1"/>
    <col min="3592" max="3592" width="8" customWidth="1"/>
    <col min="3593" max="3593" width="10.28515625" customWidth="1"/>
    <col min="3594" max="3597" width="0" hidden="1" customWidth="1"/>
    <col min="3598" max="3599" width="10.85546875" customWidth="1"/>
    <col min="3600" max="3815" width="9.140625" customWidth="1"/>
    <col min="3841" max="3841" width="13.28515625" customWidth="1"/>
    <col min="3842" max="3842" width="0" hidden="1" customWidth="1"/>
    <col min="3843" max="3843" width="9.28515625" customWidth="1"/>
    <col min="3844" max="3844" width="8" customWidth="1"/>
    <col min="3845" max="3845" width="11" customWidth="1"/>
    <col min="3846" max="3846" width="10.28515625" customWidth="1"/>
    <col min="3847" max="3847" width="0" hidden="1" customWidth="1"/>
    <col min="3848" max="3848" width="8" customWidth="1"/>
    <col min="3849" max="3849" width="10.28515625" customWidth="1"/>
    <col min="3850" max="3853" width="0" hidden="1" customWidth="1"/>
    <col min="3854" max="3855" width="10.85546875" customWidth="1"/>
    <col min="3856" max="4071" width="9.140625" customWidth="1"/>
    <col min="4097" max="4097" width="13.28515625" customWidth="1"/>
    <col min="4098" max="4098" width="0" hidden="1" customWidth="1"/>
    <col min="4099" max="4099" width="9.28515625" customWidth="1"/>
    <col min="4100" max="4100" width="8" customWidth="1"/>
    <col min="4101" max="4101" width="11" customWidth="1"/>
    <col min="4102" max="4102" width="10.28515625" customWidth="1"/>
    <col min="4103" max="4103" width="0" hidden="1" customWidth="1"/>
    <col min="4104" max="4104" width="8" customWidth="1"/>
    <col min="4105" max="4105" width="10.28515625" customWidth="1"/>
    <col min="4106" max="4109" width="0" hidden="1" customWidth="1"/>
    <col min="4110" max="4111" width="10.85546875" customWidth="1"/>
    <col min="4112" max="4327" width="9.140625" customWidth="1"/>
    <col min="4353" max="4353" width="13.28515625" customWidth="1"/>
    <col min="4354" max="4354" width="0" hidden="1" customWidth="1"/>
    <col min="4355" max="4355" width="9.28515625" customWidth="1"/>
    <col min="4356" max="4356" width="8" customWidth="1"/>
    <col min="4357" max="4357" width="11" customWidth="1"/>
    <col min="4358" max="4358" width="10.28515625" customWidth="1"/>
    <col min="4359" max="4359" width="0" hidden="1" customWidth="1"/>
    <col min="4360" max="4360" width="8" customWidth="1"/>
    <col min="4361" max="4361" width="10.28515625" customWidth="1"/>
    <col min="4362" max="4365" width="0" hidden="1" customWidth="1"/>
    <col min="4366" max="4367" width="10.85546875" customWidth="1"/>
    <col min="4368" max="4583" width="9.140625" customWidth="1"/>
    <col min="4609" max="4609" width="13.28515625" customWidth="1"/>
    <col min="4610" max="4610" width="0" hidden="1" customWidth="1"/>
    <col min="4611" max="4611" width="9.28515625" customWidth="1"/>
    <col min="4612" max="4612" width="8" customWidth="1"/>
    <col min="4613" max="4613" width="11" customWidth="1"/>
    <col min="4614" max="4614" width="10.28515625" customWidth="1"/>
    <col min="4615" max="4615" width="0" hidden="1" customWidth="1"/>
    <col min="4616" max="4616" width="8" customWidth="1"/>
    <col min="4617" max="4617" width="10.28515625" customWidth="1"/>
    <col min="4618" max="4621" width="0" hidden="1" customWidth="1"/>
    <col min="4622" max="4623" width="10.85546875" customWidth="1"/>
    <col min="4624" max="4839" width="9.140625" customWidth="1"/>
    <col min="4865" max="4865" width="13.28515625" customWidth="1"/>
    <col min="4866" max="4866" width="0" hidden="1" customWidth="1"/>
    <col min="4867" max="4867" width="9.28515625" customWidth="1"/>
    <col min="4868" max="4868" width="8" customWidth="1"/>
    <col min="4869" max="4869" width="11" customWidth="1"/>
    <col min="4870" max="4870" width="10.28515625" customWidth="1"/>
    <col min="4871" max="4871" width="0" hidden="1" customWidth="1"/>
    <col min="4872" max="4872" width="8" customWidth="1"/>
    <col min="4873" max="4873" width="10.28515625" customWidth="1"/>
    <col min="4874" max="4877" width="0" hidden="1" customWidth="1"/>
    <col min="4878" max="4879" width="10.85546875" customWidth="1"/>
    <col min="4880" max="5095" width="9.140625" customWidth="1"/>
    <col min="5121" max="5121" width="13.28515625" customWidth="1"/>
    <col min="5122" max="5122" width="0" hidden="1" customWidth="1"/>
    <col min="5123" max="5123" width="9.28515625" customWidth="1"/>
    <col min="5124" max="5124" width="8" customWidth="1"/>
    <col min="5125" max="5125" width="11" customWidth="1"/>
    <col min="5126" max="5126" width="10.28515625" customWidth="1"/>
    <col min="5127" max="5127" width="0" hidden="1" customWidth="1"/>
    <col min="5128" max="5128" width="8" customWidth="1"/>
    <col min="5129" max="5129" width="10.28515625" customWidth="1"/>
    <col min="5130" max="5133" width="0" hidden="1" customWidth="1"/>
    <col min="5134" max="5135" width="10.85546875" customWidth="1"/>
    <col min="5136" max="5351" width="9.140625" customWidth="1"/>
    <col min="5377" max="5377" width="13.28515625" customWidth="1"/>
    <col min="5378" max="5378" width="0" hidden="1" customWidth="1"/>
    <col min="5379" max="5379" width="9.28515625" customWidth="1"/>
    <col min="5380" max="5380" width="8" customWidth="1"/>
    <col min="5381" max="5381" width="11" customWidth="1"/>
    <col min="5382" max="5382" width="10.28515625" customWidth="1"/>
    <col min="5383" max="5383" width="0" hidden="1" customWidth="1"/>
    <col min="5384" max="5384" width="8" customWidth="1"/>
    <col min="5385" max="5385" width="10.28515625" customWidth="1"/>
    <col min="5386" max="5389" width="0" hidden="1" customWidth="1"/>
    <col min="5390" max="5391" width="10.85546875" customWidth="1"/>
    <col min="5392" max="5607" width="9.140625" customWidth="1"/>
    <col min="5633" max="5633" width="13.28515625" customWidth="1"/>
    <col min="5634" max="5634" width="0" hidden="1" customWidth="1"/>
    <col min="5635" max="5635" width="9.28515625" customWidth="1"/>
    <col min="5636" max="5636" width="8" customWidth="1"/>
    <col min="5637" max="5637" width="11" customWidth="1"/>
    <col min="5638" max="5638" width="10.28515625" customWidth="1"/>
    <col min="5639" max="5639" width="0" hidden="1" customWidth="1"/>
    <col min="5640" max="5640" width="8" customWidth="1"/>
    <col min="5641" max="5641" width="10.28515625" customWidth="1"/>
    <col min="5642" max="5645" width="0" hidden="1" customWidth="1"/>
    <col min="5646" max="5647" width="10.85546875" customWidth="1"/>
    <col min="5648" max="5863" width="9.140625" customWidth="1"/>
    <col min="5889" max="5889" width="13.28515625" customWidth="1"/>
    <col min="5890" max="5890" width="0" hidden="1" customWidth="1"/>
    <col min="5891" max="5891" width="9.28515625" customWidth="1"/>
    <col min="5892" max="5892" width="8" customWidth="1"/>
    <col min="5893" max="5893" width="11" customWidth="1"/>
    <col min="5894" max="5894" width="10.28515625" customWidth="1"/>
    <col min="5895" max="5895" width="0" hidden="1" customWidth="1"/>
    <col min="5896" max="5896" width="8" customWidth="1"/>
    <col min="5897" max="5897" width="10.28515625" customWidth="1"/>
    <col min="5898" max="5901" width="0" hidden="1" customWidth="1"/>
    <col min="5902" max="5903" width="10.85546875" customWidth="1"/>
    <col min="5904" max="6119" width="9.140625" customWidth="1"/>
    <col min="6145" max="6145" width="13.28515625" customWidth="1"/>
    <col min="6146" max="6146" width="0" hidden="1" customWidth="1"/>
    <col min="6147" max="6147" width="9.28515625" customWidth="1"/>
    <col min="6148" max="6148" width="8" customWidth="1"/>
    <col min="6149" max="6149" width="11" customWidth="1"/>
    <col min="6150" max="6150" width="10.28515625" customWidth="1"/>
    <col min="6151" max="6151" width="0" hidden="1" customWidth="1"/>
    <col min="6152" max="6152" width="8" customWidth="1"/>
    <col min="6153" max="6153" width="10.28515625" customWidth="1"/>
    <col min="6154" max="6157" width="0" hidden="1" customWidth="1"/>
    <col min="6158" max="6159" width="10.85546875" customWidth="1"/>
    <col min="6160" max="6375" width="9.140625" customWidth="1"/>
    <col min="6401" max="6401" width="13.28515625" customWidth="1"/>
    <col min="6402" max="6402" width="0" hidden="1" customWidth="1"/>
    <col min="6403" max="6403" width="9.28515625" customWidth="1"/>
    <col min="6404" max="6404" width="8" customWidth="1"/>
    <col min="6405" max="6405" width="11" customWidth="1"/>
    <col min="6406" max="6406" width="10.28515625" customWidth="1"/>
    <col min="6407" max="6407" width="0" hidden="1" customWidth="1"/>
    <col min="6408" max="6408" width="8" customWidth="1"/>
    <col min="6409" max="6409" width="10.28515625" customWidth="1"/>
    <col min="6410" max="6413" width="0" hidden="1" customWidth="1"/>
    <col min="6414" max="6415" width="10.85546875" customWidth="1"/>
    <col min="6416" max="6631" width="9.140625" customWidth="1"/>
    <col min="6657" max="6657" width="13.28515625" customWidth="1"/>
    <col min="6658" max="6658" width="0" hidden="1" customWidth="1"/>
    <col min="6659" max="6659" width="9.28515625" customWidth="1"/>
    <col min="6660" max="6660" width="8" customWidth="1"/>
    <col min="6661" max="6661" width="11" customWidth="1"/>
    <col min="6662" max="6662" width="10.28515625" customWidth="1"/>
    <col min="6663" max="6663" width="0" hidden="1" customWidth="1"/>
    <col min="6664" max="6664" width="8" customWidth="1"/>
    <col min="6665" max="6665" width="10.28515625" customWidth="1"/>
    <col min="6666" max="6669" width="0" hidden="1" customWidth="1"/>
    <col min="6670" max="6671" width="10.85546875" customWidth="1"/>
    <col min="6672" max="6887" width="9.140625" customWidth="1"/>
    <col min="6913" max="6913" width="13.28515625" customWidth="1"/>
    <col min="6914" max="6914" width="0" hidden="1" customWidth="1"/>
    <col min="6915" max="6915" width="9.28515625" customWidth="1"/>
    <col min="6916" max="6916" width="8" customWidth="1"/>
    <col min="6917" max="6917" width="11" customWidth="1"/>
    <col min="6918" max="6918" width="10.28515625" customWidth="1"/>
    <col min="6919" max="6919" width="0" hidden="1" customWidth="1"/>
    <col min="6920" max="6920" width="8" customWidth="1"/>
    <col min="6921" max="6921" width="10.28515625" customWidth="1"/>
    <col min="6922" max="6925" width="0" hidden="1" customWidth="1"/>
    <col min="6926" max="6927" width="10.85546875" customWidth="1"/>
    <col min="6928" max="7143" width="9.140625" customWidth="1"/>
    <col min="7169" max="7169" width="13.28515625" customWidth="1"/>
    <col min="7170" max="7170" width="0" hidden="1" customWidth="1"/>
    <col min="7171" max="7171" width="9.28515625" customWidth="1"/>
    <col min="7172" max="7172" width="8" customWidth="1"/>
    <col min="7173" max="7173" width="11" customWidth="1"/>
    <col min="7174" max="7174" width="10.28515625" customWidth="1"/>
    <col min="7175" max="7175" width="0" hidden="1" customWidth="1"/>
    <col min="7176" max="7176" width="8" customWidth="1"/>
    <col min="7177" max="7177" width="10.28515625" customWidth="1"/>
    <col min="7178" max="7181" width="0" hidden="1" customWidth="1"/>
    <col min="7182" max="7183" width="10.85546875" customWidth="1"/>
    <col min="7184" max="7399" width="9.140625" customWidth="1"/>
    <col min="7425" max="7425" width="13.28515625" customWidth="1"/>
    <col min="7426" max="7426" width="0" hidden="1" customWidth="1"/>
    <col min="7427" max="7427" width="9.28515625" customWidth="1"/>
    <col min="7428" max="7428" width="8" customWidth="1"/>
    <col min="7429" max="7429" width="11" customWidth="1"/>
    <col min="7430" max="7430" width="10.28515625" customWidth="1"/>
    <col min="7431" max="7431" width="0" hidden="1" customWidth="1"/>
    <col min="7432" max="7432" width="8" customWidth="1"/>
    <col min="7433" max="7433" width="10.28515625" customWidth="1"/>
    <col min="7434" max="7437" width="0" hidden="1" customWidth="1"/>
    <col min="7438" max="7439" width="10.85546875" customWidth="1"/>
    <col min="7440" max="7655" width="9.140625" customWidth="1"/>
    <col min="7681" max="7681" width="13.28515625" customWidth="1"/>
    <col min="7682" max="7682" width="0" hidden="1" customWidth="1"/>
    <col min="7683" max="7683" width="9.28515625" customWidth="1"/>
    <col min="7684" max="7684" width="8" customWidth="1"/>
    <col min="7685" max="7685" width="11" customWidth="1"/>
    <col min="7686" max="7686" width="10.28515625" customWidth="1"/>
    <col min="7687" max="7687" width="0" hidden="1" customWidth="1"/>
    <col min="7688" max="7688" width="8" customWidth="1"/>
    <col min="7689" max="7689" width="10.28515625" customWidth="1"/>
    <col min="7690" max="7693" width="0" hidden="1" customWidth="1"/>
    <col min="7694" max="7695" width="10.85546875" customWidth="1"/>
    <col min="7696" max="7911" width="9.140625" customWidth="1"/>
    <col min="7937" max="7937" width="13.28515625" customWidth="1"/>
    <col min="7938" max="7938" width="0" hidden="1" customWidth="1"/>
    <col min="7939" max="7939" width="9.28515625" customWidth="1"/>
    <col min="7940" max="7940" width="8" customWidth="1"/>
    <col min="7941" max="7941" width="11" customWidth="1"/>
    <col min="7942" max="7942" width="10.28515625" customWidth="1"/>
    <col min="7943" max="7943" width="0" hidden="1" customWidth="1"/>
    <col min="7944" max="7944" width="8" customWidth="1"/>
    <col min="7945" max="7945" width="10.28515625" customWidth="1"/>
    <col min="7946" max="7949" width="0" hidden="1" customWidth="1"/>
    <col min="7950" max="7951" width="10.85546875" customWidth="1"/>
    <col min="7952" max="8167" width="9.140625" customWidth="1"/>
    <col min="8193" max="8193" width="13.28515625" customWidth="1"/>
    <col min="8194" max="8194" width="0" hidden="1" customWidth="1"/>
    <col min="8195" max="8195" width="9.28515625" customWidth="1"/>
    <col min="8196" max="8196" width="8" customWidth="1"/>
    <col min="8197" max="8197" width="11" customWidth="1"/>
    <col min="8198" max="8198" width="10.28515625" customWidth="1"/>
    <col min="8199" max="8199" width="0" hidden="1" customWidth="1"/>
    <col min="8200" max="8200" width="8" customWidth="1"/>
    <col min="8201" max="8201" width="10.28515625" customWidth="1"/>
    <col min="8202" max="8205" width="0" hidden="1" customWidth="1"/>
    <col min="8206" max="8207" width="10.85546875" customWidth="1"/>
    <col min="8208" max="8423" width="9.140625" customWidth="1"/>
    <col min="8449" max="8449" width="13.28515625" customWidth="1"/>
    <col min="8450" max="8450" width="0" hidden="1" customWidth="1"/>
    <col min="8451" max="8451" width="9.28515625" customWidth="1"/>
    <col min="8452" max="8452" width="8" customWidth="1"/>
    <col min="8453" max="8453" width="11" customWidth="1"/>
    <col min="8454" max="8454" width="10.28515625" customWidth="1"/>
    <col min="8455" max="8455" width="0" hidden="1" customWidth="1"/>
    <col min="8456" max="8456" width="8" customWidth="1"/>
    <col min="8457" max="8457" width="10.28515625" customWidth="1"/>
    <col min="8458" max="8461" width="0" hidden="1" customWidth="1"/>
    <col min="8462" max="8463" width="10.85546875" customWidth="1"/>
    <col min="8464" max="8679" width="9.140625" customWidth="1"/>
    <col min="8705" max="8705" width="13.28515625" customWidth="1"/>
    <col min="8706" max="8706" width="0" hidden="1" customWidth="1"/>
    <col min="8707" max="8707" width="9.28515625" customWidth="1"/>
    <col min="8708" max="8708" width="8" customWidth="1"/>
    <col min="8709" max="8709" width="11" customWidth="1"/>
    <col min="8710" max="8710" width="10.28515625" customWidth="1"/>
    <col min="8711" max="8711" width="0" hidden="1" customWidth="1"/>
    <col min="8712" max="8712" width="8" customWidth="1"/>
    <col min="8713" max="8713" width="10.28515625" customWidth="1"/>
    <col min="8714" max="8717" width="0" hidden="1" customWidth="1"/>
    <col min="8718" max="8719" width="10.85546875" customWidth="1"/>
    <col min="8720" max="8935" width="9.140625" customWidth="1"/>
    <col min="8961" max="8961" width="13.28515625" customWidth="1"/>
    <col min="8962" max="8962" width="0" hidden="1" customWidth="1"/>
    <col min="8963" max="8963" width="9.28515625" customWidth="1"/>
    <col min="8964" max="8964" width="8" customWidth="1"/>
    <col min="8965" max="8965" width="11" customWidth="1"/>
    <col min="8966" max="8966" width="10.28515625" customWidth="1"/>
    <col min="8967" max="8967" width="0" hidden="1" customWidth="1"/>
    <col min="8968" max="8968" width="8" customWidth="1"/>
    <col min="8969" max="8969" width="10.28515625" customWidth="1"/>
    <col min="8970" max="8973" width="0" hidden="1" customWidth="1"/>
    <col min="8974" max="8975" width="10.85546875" customWidth="1"/>
    <col min="8976" max="9191" width="9.140625" customWidth="1"/>
    <col min="9217" max="9217" width="13.28515625" customWidth="1"/>
    <col min="9218" max="9218" width="0" hidden="1" customWidth="1"/>
    <col min="9219" max="9219" width="9.28515625" customWidth="1"/>
    <col min="9220" max="9220" width="8" customWidth="1"/>
    <col min="9221" max="9221" width="11" customWidth="1"/>
    <col min="9222" max="9222" width="10.28515625" customWidth="1"/>
    <col min="9223" max="9223" width="0" hidden="1" customWidth="1"/>
    <col min="9224" max="9224" width="8" customWidth="1"/>
    <col min="9225" max="9225" width="10.28515625" customWidth="1"/>
    <col min="9226" max="9229" width="0" hidden="1" customWidth="1"/>
    <col min="9230" max="9231" width="10.85546875" customWidth="1"/>
    <col min="9232" max="9447" width="9.140625" customWidth="1"/>
    <col min="9473" max="9473" width="13.28515625" customWidth="1"/>
    <col min="9474" max="9474" width="0" hidden="1" customWidth="1"/>
    <col min="9475" max="9475" width="9.28515625" customWidth="1"/>
    <col min="9476" max="9476" width="8" customWidth="1"/>
    <col min="9477" max="9477" width="11" customWidth="1"/>
    <col min="9478" max="9478" width="10.28515625" customWidth="1"/>
    <col min="9479" max="9479" width="0" hidden="1" customWidth="1"/>
    <col min="9480" max="9480" width="8" customWidth="1"/>
    <col min="9481" max="9481" width="10.28515625" customWidth="1"/>
    <col min="9482" max="9485" width="0" hidden="1" customWidth="1"/>
    <col min="9486" max="9487" width="10.85546875" customWidth="1"/>
    <col min="9488" max="9703" width="9.140625" customWidth="1"/>
    <col min="9729" max="9729" width="13.28515625" customWidth="1"/>
    <col min="9730" max="9730" width="0" hidden="1" customWidth="1"/>
    <col min="9731" max="9731" width="9.28515625" customWidth="1"/>
    <col min="9732" max="9732" width="8" customWidth="1"/>
    <col min="9733" max="9733" width="11" customWidth="1"/>
    <col min="9734" max="9734" width="10.28515625" customWidth="1"/>
    <col min="9735" max="9735" width="0" hidden="1" customWidth="1"/>
    <col min="9736" max="9736" width="8" customWidth="1"/>
    <col min="9737" max="9737" width="10.28515625" customWidth="1"/>
    <col min="9738" max="9741" width="0" hidden="1" customWidth="1"/>
    <col min="9742" max="9743" width="10.85546875" customWidth="1"/>
    <col min="9744" max="9959" width="9.140625" customWidth="1"/>
    <col min="9985" max="9985" width="13.28515625" customWidth="1"/>
    <col min="9986" max="9986" width="0" hidden="1" customWidth="1"/>
    <col min="9987" max="9987" width="9.28515625" customWidth="1"/>
    <col min="9988" max="9988" width="8" customWidth="1"/>
    <col min="9989" max="9989" width="11" customWidth="1"/>
    <col min="9990" max="9990" width="10.28515625" customWidth="1"/>
    <col min="9991" max="9991" width="0" hidden="1" customWidth="1"/>
    <col min="9992" max="9992" width="8" customWidth="1"/>
    <col min="9993" max="9993" width="10.28515625" customWidth="1"/>
    <col min="9994" max="9997" width="0" hidden="1" customWidth="1"/>
    <col min="9998" max="9999" width="10.85546875" customWidth="1"/>
    <col min="10000" max="10215" width="9.140625" customWidth="1"/>
    <col min="10241" max="10241" width="13.28515625" customWidth="1"/>
    <col min="10242" max="10242" width="0" hidden="1" customWidth="1"/>
    <col min="10243" max="10243" width="9.28515625" customWidth="1"/>
    <col min="10244" max="10244" width="8" customWidth="1"/>
    <col min="10245" max="10245" width="11" customWidth="1"/>
    <col min="10246" max="10246" width="10.28515625" customWidth="1"/>
    <col min="10247" max="10247" width="0" hidden="1" customWidth="1"/>
    <col min="10248" max="10248" width="8" customWidth="1"/>
    <col min="10249" max="10249" width="10.28515625" customWidth="1"/>
    <col min="10250" max="10253" width="0" hidden="1" customWidth="1"/>
    <col min="10254" max="10255" width="10.85546875" customWidth="1"/>
    <col min="10256" max="10471" width="9.140625" customWidth="1"/>
    <col min="10497" max="10497" width="13.28515625" customWidth="1"/>
    <col min="10498" max="10498" width="0" hidden="1" customWidth="1"/>
    <col min="10499" max="10499" width="9.28515625" customWidth="1"/>
    <col min="10500" max="10500" width="8" customWidth="1"/>
    <col min="10501" max="10501" width="11" customWidth="1"/>
    <col min="10502" max="10502" width="10.28515625" customWidth="1"/>
    <col min="10503" max="10503" width="0" hidden="1" customWidth="1"/>
    <col min="10504" max="10504" width="8" customWidth="1"/>
    <col min="10505" max="10505" width="10.28515625" customWidth="1"/>
    <col min="10506" max="10509" width="0" hidden="1" customWidth="1"/>
    <col min="10510" max="10511" width="10.85546875" customWidth="1"/>
    <col min="10512" max="10727" width="9.140625" customWidth="1"/>
    <col min="10753" max="10753" width="13.28515625" customWidth="1"/>
    <col min="10754" max="10754" width="0" hidden="1" customWidth="1"/>
    <col min="10755" max="10755" width="9.28515625" customWidth="1"/>
    <col min="10756" max="10756" width="8" customWidth="1"/>
    <col min="10757" max="10757" width="11" customWidth="1"/>
    <col min="10758" max="10758" width="10.28515625" customWidth="1"/>
    <col min="10759" max="10759" width="0" hidden="1" customWidth="1"/>
    <col min="10760" max="10760" width="8" customWidth="1"/>
    <col min="10761" max="10761" width="10.28515625" customWidth="1"/>
    <col min="10762" max="10765" width="0" hidden="1" customWidth="1"/>
    <col min="10766" max="10767" width="10.85546875" customWidth="1"/>
    <col min="10768" max="10983" width="9.140625" customWidth="1"/>
    <col min="11009" max="11009" width="13.28515625" customWidth="1"/>
    <col min="11010" max="11010" width="0" hidden="1" customWidth="1"/>
    <col min="11011" max="11011" width="9.28515625" customWidth="1"/>
    <col min="11012" max="11012" width="8" customWidth="1"/>
    <col min="11013" max="11013" width="11" customWidth="1"/>
    <col min="11014" max="11014" width="10.28515625" customWidth="1"/>
    <col min="11015" max="11015" width="0" hidden="1" customWidth="1"/>
    <col min="11016" max="11016" width="8" customWidth="1"/>
    <col min="11017" max="11017" width="10.28515625" customWidth="1"/>
    <col min="11018" max="11021" width="0" hidden="1" customWidth="1"/>
    <col min="11022" max="11023" width="10.85546875" customWidth="1"/>
    <col min="11024" max="11239" width="9.140625" customWidth="1"/>
    <col min="11265" max="11265" width="13.28515625" customWidth="1"/>
    <col min="11266" max="11266" width="0" hidden="1" customWidth="1"/>
    <col min="11267" max="11267" width="9.28515625" customWidth="1"/>
    <col min="11268" max="11268" width="8" customWidth="1"/>
    <col min="11269" max="11269" width="11" customWidth="1"/>
    <col min="11270" max="11270" width="10.28515625" customWidth="1"/>
    <col min="11271" max="11271" width="0" hidden="1" customWidth="1"/>
    <col min="11272" max="11272" width="8" customWidth="1"/>
    <col min="11273" max="11273" width="10.28515625" customWidth="1"/>
    <col min="11274" max="11277" width="0" hidden="1" customWidth="1"/>
    <col min="11278" max="11279" width="10.85546875" customWidth="1"/>
    <col min="11280" max="11495" width="9.140625" customWidth="1"/>
    <col min="11521" max="11521" width="13.28515625" customWidth="1"/>
    <col min="11522" max="11522" width="0" hidden="1" customWidth="1"/>
    <col min="11523" max="11523" width="9.28515625" customWidth="1"/>
    <col min="11524" max="11524" width="8" customWidth="1"/>
    <col min="11525" max="11525" width="11" customWidth="1"/>
    <col min="11526" max="11526" width="10.28515625" customWidth="1"/>
    <col min="11527" max="11527" width="0" hidden="1" customWidth="1"/>
    <col min="11528" max="11528" width="8" customWidth="1"/>
    <col min="11529" max="11529" width="10.28515625" customWidth="1"/>
    <col min="11530" max="11533" width="0" hidden="1" customWidth="1"/>
    <col min="11534" max="11535" width="10.85546875" customWidth="1"/>
    <col min="11536" max="11751" width="9.140625" customWidth="1"/>
    <col min="11777" max="11777" width="13.28515625" customWidth="1"/>
    <col min="11778" max="11778" width="0" hidden="1" customWidth="1"/>
    <col min="11779" max="11779" width="9.28515625" customWidth="1"/>
    <col min="11780" max="11780" width="8" customWidth="1"/>
    <col min="11781" max="11781" width="11" customWidth="1"/>
    <col min="11782" max="11782" width="10.28515625" customWidth="1"/>
    <col min="11783" max="11783" width="0" hidden="1" customWidth="1"/>
    <col min="11784" max="11784" width="8" customWidth="1"/>
    <col min="11785" max="11785" width="10.28515625" customWidth="1"/>
    <col min="11786" max="11789" width="0" hidden="1" customWidth="1"/>
    <col min="11790" max="11791" width="10.85546875" customWidth="1"/>
    <col min="11792" max="12007" width="9.140625" customWidth="1"/>
    <col min="12033" max="12033" width="13.28515625" customWidth="1"/>
    <col min="12034" max="12034" width="0" hidden="1" customWidth="1"/>
    <col min="12035" max="12035" width="9.28515625" customWidth="1"/>
    <col min="12036" max="12036" width="8" customWidth="1"/>
    <col min="12037" max="12037" width="11" customWidth="1"/>
    <col min="12038" max="12038" width="10.28515625" customWidth="1"/>
    <col min="12039" max="12039" width="0" hidden="1" customWidth="1"/>
    <col min="12040" max="12040" width="8" customWidth="1"/>
    <col min="12041" max="12041" width="10.28515625" customWidth="1"/>
    <col min="12042" max="12045" width="0" hidden="1" customWidth="1"/>
    <col min="12046" max="12047" width="10.85546875" customWidth="1"/>
    <col min="12048" max="12263" width="9.140625" customWidth="1"/>
    <col min="12289" max="12289" width="13.28515625" customWidth="1"/>
    <col min="12290" max="12290" width="0" hidden="1" customWidth="1"/>
    <col min="12291" max="12291" width="9.28515625" customWidth="1"/>
    <col min="12292" max="12292" width="8" customWidth="1"/>
    <col min="12293" max="12293" width="11" customWidth="1"/>
    <col min="12294" max="12294" width="10.28515625" customWidth="1"/>
    <col min="12295" max="12295" width="0" hidden="1" customWidth="1"/>
    <col min="12296" max="12296" width="8" customWidth="1"/>
    <col min="12297" max="12297" width="10.28515625" customWidth="1"/>
    <col min="12298" max="12301" width="0" hidden="1" customWidth="1"/>
    <col min="12302" max="12303" width="10.85546875" customWidth="1"/>
    <col min="12304" max="12519" width="9.140625" customWidth="1"/>
    <col min="12545" max="12545" width="13.28515625" customWidth="1"/>
    <col min="12546" max="12546" width="0" hidden="1" customWidth="1"/>
    <col min="12547" max="12547" width="9.28515625" customWidth="1"/>
    <col min="12548" max="12548" width="8" customWidth="1"/>
    <col min="12549" max="12549" width="11" customWidth="1"/>
    <col min="12550" max="12550" width="10.28515625" customWidth="1"/>
    <col min="12551" max="12551" width="0" hidden="1" customWidth="1"/>
    <col min="12552" max="12552" width="8" customWidth="1"/>
    <col min="12553" max="12553" width="10.28515625" customWidth="1"/>
    <col min="12554" max="12557" width="0" hidden="1" customWidth="1"/>
    <col min="12558" max="12559" width="10.85546875" customWidth="1"/>
    <col min="12560" max="12775" width="9.140625" customWidth="1"/>
    <col min="12801" max="12801" width="13.28515625" customWidth="1"/>
    <col min="12802" max="12802" width="0" hidden="1" customWidth="1"/>
    <col min="12803" max="12803" width="9.28515625" customWidth="1"/>
    <col min="12804" max="12804" width="8" customWidth="1"/>
    <col min="12805" max="12805" width="11" customWidth="1"/>
    <col min="12806" max="12806" width="10.28515625" customWidth="1"/>
    <col min="12807" max="12807" width="0" hidden="1" customWidth="1"/>
    <col min="12808" max="12808" width="8" customWidth="1"/>
    <col min="12809" max="12809" width="10.28515625" customWidth="1"/>
    <col min="12810" max="12813" width="0" hidden="1" customWidth="1"/>
    <col min="12814" max="12815" width="10.85546875" customWidth="1"/>
    <col min="12816" max="13031" width="9.140625" customWidth="1"/>
    <col min="13057" max="13057" width="13.28515625" customWidth="1"/>
    <col min="13058" max="13058" width="0" hidden="1" customWidth="1"/>
    <col min="13059" max="13059" width="9.28515625" customWidth="1"/>
    <col min="13060" max="13060" width="8" customWidth="1"/>
    <col min="13061" max="13061" width="11" customWidth="1"/>
    <col min="13062" max="13062" width="10.28515625" customWidth="1"/>
    <col min="13063" max="13063" width="0" hidden="1" customWidth="1"/>
    <col min="13064" max="13064" width="8" customWidth="1"/>
    <col min="13065" max="13065" width="10.28515625" customWidth="1"/>
    <col min="13066" max="13069" width="0" hidden="1" customWidth="1"/>
    <col min="13070" max="13071" width="10.85546875" customWidth="1"/>
    <col min="13072" max="13287" width="9.140625" customWidth="1"/>
    <col min="13313" max="13313" width="13.28515625" customWidth="1"/>
    <col min="13314" max="13314" width="0" hidden="1" customWidth="1"/>
    <col min="13315" max="13315" width="9.28515625" customWidth="1"/>
    <col min="13316" max="13316" width="8" customWidth="1"/>
    <col min="13317" max="13317" width="11" customWidth="1"/>
    <col min="13318" max="13318" width="10.28515625" customWidth="1"/>
    <col min="13319" max="13319" width="0" hidden="1" customWidth="1"/>
    <col min="13320" max="13320" width="8" customWidth="1"/>
    <col min="13321" max="13321" width="10.28515625" customWidth="1"/>
    <col min="13322" max="13325" width="0" hidden="1" customWidth="1"/>
    <col min="13326" max="13327" width="10.85546875" customWidth="1"/>
    <col min="13328" max="13543" width="9.140625" customWidth="1"/>
    <col min="13569" max="13569" width="13.28515625" customWidth="1"/>
    <col min="13570" max="13570" width="0" hidden="1" customWidth="1"/>
    <col min="13571" max="13571" width="9.28515625" customWidth="1"/>
    <col min="13572" max="13572" width="8" customWidth="1"/>
    <col min="13573" max="13573" width="11" customWidth="1"/>
    <col min="13574" max="13574" width="10.28515625" customWidth="1"/>
    <col min="13575" max="13575" width="0" hidden="1" customWidth="1"/>
    <col min="13576" max="13576" width="8" customWidth="1"/>
    <col min="13577" max="13577" width="10.28515625" customWidth="1"/>
    <col min="13578" max="13581" width="0" hidden="1" customWidth="1"/>
    <col min="13582" max="13583" width="10.85546875" customWidth="1"/>
    <col min="13584" max="13799" width="9.140625" customWidth="1"/>
    <col min="13825" max="13825" width="13.28515625" customWidth="1"/>
    <col min="13826" max="13826" width="0" hidden="1" customWidth="1"/>
    <col min="13827" max="13827" width="9.28515625" customWidth="1"/>
    <col min="13828" max="13828" width="8" customWidth="1"/>
    <col min="13829" max="13829" width="11" customWidth="1"/>
    <col min="13830" max="13830" width="10.28515625" customWidth="1"/>
    <col min="13831" max="13831" width="0" hidden="1" customWidth="1"/>
    <col min="13832" max="13832" width="8" customWidth="1"/>
    <col min="13833" max="13833" width="10.28515625" customWidth="1"/>
    <col min="13834" max="13837" width="0" hidden="1" customWidth="1"/>
    <col min="13838" max="13839" width="10.85546875" customWidth="1"/>
    <col min="13840" max="14055" width="9.140625" customWidth="1"/>
    <col min="14081" max="14081" width="13.28515625" customWidth="1"/>
    <col min="14082" max="14082" width="0" hidden="1" customWidth="1"/>
    <col min="14083" max="14083" width="9.28515625" customWidth="1"/>
    <col min="14084" max="14084" width="8" customWidth="1"/>
    <col min="14085" max="14085" width="11" customWidth="1"/>
    <col min="14086" max="14086" width="10.28515625" customWidth="1"/>
    <col min="14087" max="14087" width="0" hidden="1" customWidth="1"/>
    <col min="14088" max="14088" width="8" customWidth="1"/>
    <col min="14089" max="14089" width="10.28515625" customWidth="1"/>
    <col min="14090" max="14093" width="0" hidden="1" customWidth="1"/>
    <col min="14094" max="14095" width="10.85546875" customWidth="1"/>
    <col min="14096" max="14311" width="9.140625" customWidth="1"/>
    <col min="14337" max="14337" width="13.28515625" customWidth="1"/>
    <col min="14338" max="14338" width="0" hidden="1" customWidth="1"/>
    <col min="14339" max="14339" width="9.28515625" customWidth="1"/>
    <col min="14340" max="14340" width="8" customWidth="1"/>
    <col min="14341" max="14341" width="11" customWidth="1"/>
    <col min="14342" max="14342" width="10.28515625" customWidth="1"/>
    <col min="14343" max="14343" width="0" hidden="1" customWidth="1"/>
    <col min="14344" max="14344" width="8" customWidth="1"/>
    <col min="14345" max="14345" width="10.28515625" customWidth="1"/>
    <col min="14346" max="14349" width="0" hidden="1" customWidth="1"/>
    <col min="14350" max="14351" width="10.85546875" customWidth="1"/>
    <col min="14352" max="14567" width="9.140625" customWidth="1"/>
    <col min="14593" max="14593" width="13.28515625" customWidth="1"/>
    <col min="14594" max="14594" width="0" hidden="1" customWidth="1"/>
    <col min="14595" max="14595" width="9.28515625" customWidth="1"/>
    <col min="14596" max="14596" width="8" customWidth="1"/>
    <col min="14597" max="14597" width="11" customWidth="1"/>
    <col min="14598" max="14598" width="10.28515625" customWidth="1"/>
    <col min="14599" max="14599" width="0" hidden="1" customWidth="1"/>
    <col min="14600" max="14600" width="8" customWidth="1"/>
    <col min="14601" max="14601" width="10.28515625" customWidth="1"/>
    <col min="14602" max="14605" width="0" hidden="1" customWidth="1"/>
    <col min="14606" max="14607" width="10.85546875" customWidth="1"/>
    <col min="14608" max="14823" width="9.140625" customWidth="1"/>
    <col min="14849" max="14849" width="13.28515625" customWidth="1"/>
    <col min="14850" max="14850" width="0" hidden="1" customWidth="1"/>
    <col min="14851" max="14851" width="9.28515625" customWidth="1"/>
    <col min="14852" max="14852" width="8" customWidth="1"/>
    <col min="14853" max="14853" width="11" customWidth="1"/>
    <col min="14854" max="14854" width="10.28515625" customWidth="1"/>
    <col min="14855" max="14855" width="0" hidden="1" customWidth="1"/>
    <col min="14856" max="14856" width="8" customWidth="1"/>
    <col min="14857" max="14857" width="10.28515625" customWidth="1"/>
    <col min="14858" max="14861" width="0" hidden="1" customWidth="1"/>
    <col min="14862" max="14863" width="10.85546875" customWidth="1"/>
    <col min="14864" max="15079" width="9.140625" customWidth="1"/>
    <col min="15105" max="15105" width="13.28515625" customWidth="1"/>
    <col min="15106" max="15106" width="0" hidden="1" customWidth="1"/>
    <col min="15107" max="15107" width="9.28515625" customWidth="1"/>
    <col min="15108" max="15108" width="8" customWidth="1"/>
    <col min="15109" max="15109" width="11" customWidth="1"/>
    <col min="15110" max="15110" width="10.28515625" customWidth="1"/>
    <col min="15111" max="15111" width="0" hidden="1" customWidth="1"/>
    <col min="15112" max="15112" width="8" customWidth="1"/>
    <col min="15113" max="15113" width="10.28515625" customWidth="1"/>
    <col min="15114" max="15117" width="0" hidden="1" customWidth="1"/>
    <col min="15118" max="15119" width="10.85546875" customWidth="1"/>
    <col min="15120" max="15335" width="9.140625" customWidth="1"/>
    <col min="15361" max="15361" width="13.28515625" customWidth="1"/>
    <col min="15362" max="15362" width="0" hidden="1" customWidth="1"/>
    <col min="15363" max="15363" width="9.28515625" customWidth="1"/>
    <col min="15364" max="15364" width="8" customWidth="1"/>
    <col min="15365" max="15365" width="11" customWidth="1"/>
    <col min="15366" max="15366" width="10.28515625" customWidth="1"/>
    <col min="15367" max="15367" width="0" hidden="1" customWidth="1"/>
    <col min="15368" max="15368" width="8" customWidth="1"/>
    <col min="15369" max="15369" width="10.28515625" customWidth="1"/>
    <col min="15370" max="15373" width="0" hidden="1" customWidth="1"/>
    <col min="15374" max="15375" width="10.85546875" customWidth="1"/>
    <col min="15376" max="15591" width="9.140625" customWidth="1"/>
    <col min="15617" max="15617" width="13.28515625" customWidth="1"/>
    <col min="15618" max="15618" width="0" hidden="1" customWidth="1"/>
    <col min="15619" max="15619" width="9.28515625" customWidth="1"/>
    <col min="15620" max="15620" width="8" customWidth="1"/>
    <col min="15621" max="15621" width="11" customWidth="1"/>
    <col min="15622" max="15622" width="10.28515625" customWidth="1"/>
    <col min="15623" max="15623" width="0" hidden="1" customWidth="1"/>
    <col min="15624" max="15624" width="8" customWidth="1"/>
    <col min="15625" max="15625" width="10.28515625" customWidth="1"/>
    <col min="15626" max="15629" width="0" hidden="1" customWidth="1"/>
    <col min="15630" max="15631" width="10.85546875" customWidth="1"/>
    <col min="15632" max="15847" width="9.140625" customWidth="1"/>
    <col min="15873" max="15873" width="13.28515625" customWidth="1"/>
    <col min="15874" max="15874" width="0" hidden="1" customWidth="1"/>
    <col min="15875" max="15875" width="9.28515625" customWidth="1"/>
    <col min="15876" max="15876" width="8" customWidth="1"/>
    <col min="15877" max="15877" width="11" customWidth="1"/>
    <col min="15878" max="15878" width="10.28515625" customWidth="1"/>
    <col min="15879" max="15879" width="0" hidden="1" customWidth="1"/>
    <col min="15880" max="15880" width="8" customWidth="1"/>
    <col min="15881" max="15881" width="10.28515625" customWidth="1"/>
    <col min="15882" max="15885" width="0" hidden="1" customWidth="1"/>
    <col min="15886" max="15887" width="10.85546875" customWidth="1"/>
    <col min="15888" max="16103" width="9.140625" customWidth="1"/>
    <col min="16129" max="16129" width="13.28515625" customWidth="1"/>
    <col min="16130" max="16130" width="0" hidden="1" customWidth="1"/>
    <col min="16131" max="16131" width="9.28515625" customWidth="1"/>
    <col min="16132" max="16132" width="8" customWidth="1"/>
    <col min="16133" max="16133" width="11" customWidth="1"/>
    <col min="16134" max="16134" width="10.28515625" customWidth="1"/>
    <col min="16135" max="16135" width="0" hidden="1" customWidth="1"/>
    <col min="16136" max="16136" width="8" customWidth="1"/>
    <col min="16137" max="16137" width="10.28515625" customWidth="1"/>
    <col min="16138" max="16141" width="0" hidden="1" customWidth="1"/>
    <col min="16142" max="16143" width="10.85546875" customWidth="1"/>
    <col min="16144" max="16359" width="9.140625" customWidth="1"/>
  </cols>
  <sheetData>
    <row r="1" spans="1:232" ht="15.75" x14ac:dyDescent="0.25">
      <c r="A1" s="125"/>
      <c r="B1" s="126"/>
      <c r="C1" s="126"/>
      <c r="D1" s="126"/>
      <c r="E1" s="126"/>
      <c r="F1" s="127" t="s">
        <v>66</v>
      </c>
      <c r="G1" s="126"/>
      <c r="H1" s="126"/>
      <c r="I1" s="126"/>
      <c r="J1" s="126"/>
      <c r="K1" s="128"/>
      <c r="L1" s="128"/>
      <c r="M1" s="128"/>
      <c r="N1" s="128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B1" s="126"/>
      <c r="HC1" s="126"/>
      <c r="HD1" s="126"/>
      <c r="HE1" s="126"/>
      <c r="HF1" s="126"/>
      <c r="HG1" s="126"/>
      <c r="HH1" s="126"/>
      <c r="HI1" s="126"/>
      <c r="HJ1" s="126"/>
      <c r="HK1" s="126"/>
      <c r="HL1" s="126"/>
      <c r="HM1" s="126"/>
      <c r="HN1" s="126"/>
      <c r="HO1" s="126"/>
      <c r="HP1" s="126"/>
      <c r="HQ1" s="126"/>
      <c r="HR1" s="126"/>
      <c r="HS1" s="126"/>
      <c r="HT1" s="126"/>
      <c r="HU1" s="126"/>
    </row>
    <row r="2" spans="1:232" ht="15.75" x14ac:dyDescent="0.25">
      <c r="A2" s="129"/>
      <c r="B2" s="130"/>
      <c r="C2" s="130"/>
      <c r="D2" s="130"/>
      <c r="E2" s="130"/>
      <c r="F2" s="131" t="s">
        <v>67</v>
      </c>
      <c r="G2" s="130"/>
      <c r="H2" s="130"/>
      <c r="I2" s="130"/>
      <c r="J2" s="130"/>
      <c r="K2" s="128"/>
      <c r="L2" s="128"/>
      <c r="M2" s="128"/>
      <c r="N2" s="128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0"/>
      <c r="DU2" s="130"/>
      <c r="DV2" s="130"/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0"/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0"/>
      <c r="EU2" s="130"/>
      <c r="EV2" s="130"/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0"/>
      <c r="FH2" s="130"/>
      <c r="FI2" s="130"/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0"/>
      <c r="FU2" s="130"/>
      <c r="FV2" s="130"/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0"/>
      <c r="GH2" s="130"/>
      <c r="GI2" s="130"/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0"/>
      <c r="GU2" s="130"/>
      <c r="GV2" s="130"/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0"/>
      <c r="HH2" s="130"/>
      <c r="HI2" s="130"/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0"/>
      <c r="HU2" s="130"/>
    </row>
    <row r="3" spans="1:232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</row>
    <row r="4" spans="1:232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</row>
    <row r="5" spans="1:232" ht="19.5" x14ac:dyDescent="0.25">
      <c r="A5" s="132" t="s">
        <v>118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</row>
    <row r="6" spans="1:232" ht="19.5" x14ac:dyDescent="0.25">
      <c r="A6" s="134"/>
      <c r="B6" s="133"/>
      <c r="C6" s="133"/>
      <c r="D6" s="133"/>
      <c r="E6" s="133"/>
      <c r="F6" s="133"/>
      <c r="G6" s="133"/>
      <c r="H6" s="133"/>
      <c r="I6" s="128"/>
      <c r="J6" s="133"/>
      <c r="K6" s="133"/>
      <c r="L6" s="133"/>
      <c r="M6" s="133"/>
      <c r="N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</row>
    <row r="7" spans="1:232" s="139" customFormat="1" x14ac:dyDescent="0.25">
      <c r="A7" s="135"/>
      <c r="B7" s="136"/>
      <c r="C7" s="136" t="s">
        <v>69</v>
      </c>
      <c r="D7" s="137" t="s">
        <v>70</v>
      </c>
      <c r="E7" s="137" t="s">
        <v>71</v>
      </c>
      <c r="F7" s="137" t="s">
        <v>72</v>
      </c>
      <c r="G7" s="137"/>
      <c r="H7" s="137" t="s">
        <v>74</v>
      </c>
      <c r="I7" s="137" t="s">
        <v>75</v>
      </c>
      <c r="J7" s="137"/>
      <c r="K7" s="137"/>
      <c r="L7" s="137"/>
      <c r="M7" s="137"/>
      <c r="N7" s="137" t="s">
        <v>76</v>
      </c>
      <c r="O7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/>
      <c r="HW7"/>
      <c r="HX7"/>
    </row>
    <row r="8" spans="1:232" ht="25.5" x14ac:dyDescent="0.25">
      <c r="A8" s="140" t="s">
        <v>77</v>
      </c>
      <c r="B8" s="141"/>
      <c r="C8" s="142">
        <v>2500</v>
      </c>
      <c r="D8" s="143">
        <v>2200</v>
      </c>
      <c r="E8" s="143">
        <v>10200</v>
      </c>
      <c r="F8" s="143">
        <v>1000</v>
      </c>
      <c r="G8" s="143"/>
      <c r="H8" s="143">
        <v>1500</v>
      </c>
      <c r="I8" s="143">
        <v>5350</v>
      </c>
      <c r="J8" s="143"/>
      <c r="K8" s="143"/>
      <c r="L8" s="143"/>
      <c r="M8" s="143"/>
      <c r="N8" s="143">
        <v>6000</v>
      </c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</row>
    <row r="9" spans="1:232" s="150" customFormat="1" ht="25.5" x14ac:dyDescent="0.25">
      <c r="A9" s="145" t="s">
        <v>78</v>
      </c>
      <c r="B9" s="146"/>
      <c r="C9" s="147">
        <v>5</v>
      </c>
      <c r="D9" s="146">
        <v>3.8</v>
      </c>
      <c r="E9" s="146">
        <v>20.100000000000001</v>
      </c>
      <c r="F9" s="146">
        <v>2</v>
      </c>
      <c r="G9" s="146"/>
      <c r="H9" s="146">
        <v>3</v>
      </c>
      <c r="I9" s="146">
        <v>12.5</v>
      </c>
      <c r="J9" s="146"/>
      <c r="K9" s="148"/>
      <c r="L9" s="146"/>
      <c r="M9" s="146"/>
      <c r="N9" s="146">
        <v>12</v>
      </c>
      <c r="O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  <c r="GF9" s="149"/>
      <c r="GG9" s="149"/>
      <c r="GH9" s="149"/>
      <c r="GI9" s="149"/>
      <c r="GJ9" s="149"/>
      <c r="GK9" s="149"/>
      <c r="GL9" s="149"/>
      <c r="GM9" s="149"/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/>
      <c r="HT9" s="149"/>
      <c r="HU9" s="149"/>
    </row>
    <row r="10" spans="1:232" x14ac:dyDescent="0.25">
      <c r="A10" s="151" t="s">
        <v>79</v>
      </c>
      <c r="B10" s="152"/>
      <c r="C10" s="153">
        <v>10148</v>
      </c>
      <c r="D10" s="152">
        <v>150</v>
      </c>
      <c r="E10" s="152">
        <v>12181</v>
      </c>
      <c r="F10" s="152">
        <v>12772</v>
      </c>
      <c r="G10" s="154"/>
      <c r="H10" s="154">
        <f>19134-1290</f>
        <v>17844</v>
      </c>
      <c r="I10" s="154">
        <v>4080</v>
      </c>
      <c r="J10" s="152"/>
      <c r="K10" s="152"/>
      <c r="L10" s="152"/>
      <c r="M10" s="152"/>
      <c r="N10" s="152">
        <f>10198-230</f>
        <v>9968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  <c r="DT10" s="144"/>
      <c r="DU10" s="144"/>
      <c r="DV10" s="144"/>
      <c r="DW10" s="144"/>
      <c r="DX10" s="144"/>
      <c r="DY10" s="144"/>
      <c r="DZ10" s="144"/>
      <c r="EA10" s="144"/>
      <c r="EB10" s="144"/>
      <c r="EC10" s="144"/>
      <c r="ED10" s="144"/>
      <c r="EE10" s="144"/>
      <c r="EF10" s="144"/>
      <c r="EG10" s="144"/>
      <c r="EH10" s="144"/>
      <c r="EI10" s="144"/>
      <c r="EJ10" s="144"/>
      <c r="EK10" s="144"/>
      <c r="EL10" s="144"/>
      <c r="EM10" s="144"/>
      <c r="EN10" s="144"/>
      <c r="EO10" s="144"/>
      <c r="EP10" s="144"/>
      <c r="EQ10" s="144"/>
      <c r="ER10" s="144"/>
      <c r="ES10" s="144"/>
      <c r="ET10" s="144"/>
      <c r="EU10" s="144"/>
      <c r="EV10" s="144"/>
      <c r="EW10" s="144"/>
      <c r="EX10" s="144"/>
      <c r="EY10" s="144"/>
      <c r="EZ10" s="144"/>
      <c r="FA10" s="144"/>
      <c r="FB10" s="144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44"/>
      <c r="FQ10" s="144"/>
      <c r="FR10" s="144"/>
      <c r="FS10" s="144"/>
      <c r="FT10" s="144"/>
      <c r="FU10" s="144"/>
      <c r="FV10" s="144"/>
      <c r="FW10" s="144"/>
      <c r="FX10" s="144"/>
      <c r="FY10" s="144"/>
      <c r="FZ10" s="144"/>
      <c r="GA10" s="144"/>
      <c r="GB10" s="144"/>
      <c r="GC10" s="144"/>
      <c r="GD10" s="144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44"/>
      <c r="GR10" s="144"/>
      <c r="GS10" s="144"/>
      <c r="GT10" s="144"/>
      <c r="GU10" s="144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44"/>
      <c r="HI10" s="144"/>
      <c r="HJ10" s="144"/>
      <c r="HK10" s="144"/>
      <c r="HL10" s="144"/>
      <c r="HM10" s="144"/>
      <c r="HN10" s="144"/>
      <c r="HO10" s="144"/>
      <c r="HP10" s="144"/>
      <c r="HQ10" s="144"/>
      <c r="HR10" s="144"/>
      <c r="HS10" s="144"/>
      <c r="HT10" s="144"/>
      <c r="HU10" s="144"/>
    </row>
    <row r="11" spans="1:232" ht="25.5" x14ac:dyDescent="0.25">
      <c r="A11" s="155" t="s">
        <v>80</v>
      </c>
      <c r="B11" s="156"/>
      <c r="C11" s="157"/>
      <c r="D11" s="156"/>
      <c r="E11" s="156"/>
      <c r="F11" s="156"/>
      <c r="G11" s="158"/>
      <c r="H11" s="158">
        <v>1290</v>
      </c>
      <c r="I11" s="158"/>
      <c r="J11" s="156"/>
      <c r="K11" s="156"/>
      <c r="L11" s="156"/>
      <c r="M11" s="156"/>
      <c r="N11" s="156">
        <v>230</v>
      </c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</row>
    <row r="12" spans="1:232" x14ac:dyDescent="0.25">
      <c r="A12" s="159" t="s">
        <v>81</v>
      </c>
      <c r="B12" s="141"/>
      <c r="C12" s="142">
        <v>10262</v>
      </c>
      <c r="D12" s="141">
        <v>2515</v>
      </c>
      <c r="E12" s="141">
        <v>21180</v>
      </c>
      <c r="F12" s="141">
        <v>6880</v>
      </c>
      <c r="G12" s="160"/>
      <c r="H12" s="160">
        <v>10577</v>
      </c>
      <c r="I12" s="160">
        <v>6610</v>
      </c>
      <c r="J12" s="143"/>
      <c r="K12" s="141"/>
      <c r="L12" s="141"/>
      <c r="M12" s="141"/>
      <c r="N12" s="141">
        <v>16340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</row>
    <row r="13" spans="1:232" ht="25.5" x14ac:dyDescent="0.25">
      <c r="A13" s="159" t="s">
        <v>82</v>
      </c>
      <c r="B13" s="141"/>
      <c r="C13" s="142">
        <v>1610</v>
      </c>
      <c r="D13" s="141"/>
      <c r="E13" s="141">
        <v>7760</v>
      </c>
      <c r="F13" s="141">
        <v>1070</v>
      </c>
      <c r="G13" s="160"/>
      <c r="H13" s="160">
        <v>4870</v>
      </c>
      <c r="I13" s="160">
        <v>1560</v>
      </c>
      <c r="J13" s="143"/>
      <c r="K13" s="143"/>
      <c r="L13" s="141"/>
      <c r="M13" s="141"/>
      <c r="N13" s="141">
        <v>2620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4"/>
      <c r="ER13" s="144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</row>
    <row r="14" spans="1:232" ht="25.5" x14ac:dyDescent="0.25">
      <c r="A14" s="159" t="s">
        <v>83</v>
      </c>
      <c r="B14" s="141"/>
      <c r="C14" s="142"/>
      <c r="D14" s="141"/>
      <c r="E14" s="141"/>
      <c r="F14" s="141">
        <v>1500</v>
      </c>
      <c r="G14" s="160"/>
      <c r="H14" s="160"/>
      <c r="I14" s="160">
        <v>2600</v>
      </c>
      <c r="J14" s="141"/>
      <c r="K14" s="141"/>
      <c r="L14" s="141"/>
      <c r="M14" s="141"/>
      <c r="N14" s="141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  <c r="EL14" s="144"/>
      <c r="EM14" s="144"/>
      <c r="EN14" s="144"/>
      <c r="EO14" s="144"/>
      <c r="EP14" s="144"/>
      <c r="EQ14" s="144"/>
      <c r="ER14" s="144"/>
      <c r="ES14" s="144"/>
      <c r="ET14" s="144"/>
      <c r="EU14" s="144"/>
      <c r="EV14" s="144"/>
      <c r="EW14" s="144"/>
      <c r="EX14" s="144"/>
      <c r="EY14" s="144"/>
      <c r="EZ14" s="144"/>
      <c r="FA14" s="144"/>
      <c r="FB14" s="144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44"/>
      <c r="FQ14" s="144"/>
      <c r="FR14" s="144"/>
      <c r="FS14" s="144"/>
      <c r="FT14" s="144"/>
      <c r="FU14" s="144"/>
      <c r="FV14" s="144"/>
      <c r="FW14" s="144"/>
      <c r="FX14" s="144"/>
      <c r="FY14" s="144"/>
      <c r="FZ14" s="144"/>
      <c r="GA14" s="144"/>
      <c r="GB14" s="144"/>
      <c r="GC14" s="144"/>
      <c r="GD14" s="144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44"/>
      <c r="GR14" s="144"/>
      <c r="GS14" s="144"/>
      <c r="GT14" s="144"/>
      <c r="GU14" s="144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44"/>
      <c r="HI14" s="144"/>
      <c r="HJ14" s="144"/>
      <c r="HK14" s="144"/>
      <c r="HL14" s="144"/>
      <c r="HM14" s="144"/>
      <c r="HN14" s="144"/>
      <c r="HO14" s="144"/>
      <c r="HP14" s="144"/>
      <c r="HQ14" s="144"/>
      <c r="HR14" s="144"/>
      <c r="HS14" s="144"/>
      <c r="HT14" s="144"/>
      <c r="HU14" s="144"/>
    </row>
    <row r="15" spans="1:232" ht="25.5" x14ac:dyDescent="0.25">
      <c r="A15" s="159" t="s">
        <v>84</v>
      </c>
      <c r="B15" s="141"/>
      <c r="C15" s="142"/>
      <c r="D15" s="141"/>
      <c r="E15" s="141"/>
      <c r="F15" s="141"/>
      <c r="G15" s="160"/>
      <c r="H15" s="160"/>
      <c r="I15" s="160"/>
      <c r="J15" s="143"/>
      <c r="K15" s="141"/>
      <c r="L15" s="141"/>
      <c r="M15" s="141"/>
      <c r="N15" s="141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</row>
    <row r="16" spans="1:232" ht="25.5" x14ac:dyDescent="0.25">
      <c r="A16" s="159" t="s">
        <v>85</v>
      </c>
      <c r="B16" s="141"/>
      <c r="C16" s="142"/>
      <c r="D16" s="143"/>
      <c r="E16" s="141"/>
      <c r="F16" s="143"/>
      <c r="G16" s="160"/>
      <c r="H16" s="161"/>
      <c r="I16" s="160"/>
      <c r="J16" s="143"/>
      <c r="K16" s="141"/>
      <c r="L16" s="141"/>
      <c r="M16" s="141"/>
      <c r="N16" s="14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</row>
    <row r="17" spans="1:229" x14ac:dyDescent="0.25">
      <c r="A17" s="159" t="s">
        <v>86</v>
      </c>
      <c r="B17" s="141"/>
      <c r="C17" s="142"/>
      <c r="D17" s="143"/>
      <c r="E17" s="141"/>
      <c r="F17" s="143"/>
      <c r="G17" s="161"/>
      <c r="H17" s="161"/>
      <c r="I17" s="161"/>
      <c r="J17" s="143"/>
      <c r="K17" s="143"/>
      <c r="L17" s="143"/>
      <c r="M17" s="143"/>
      <c r="N17" s="14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</row>
    <row r="18" spans="1:229" x14ac:dyDescent="0.25">
      <c r="A18" s="163" t="s">
        <v>54</v>
      </c>
      <c r="B18" s="164">
        <f>SUM(B10:B17)+B8</f>
        <v>0</v>
      </c>
      <c r="C18" s="164">
        <f>SUM(C10:C17)+C8</f>
        <v>24520</v>
      </c>
      <c r="D18" s="164">
        <f>SUM(D10:D17)+D8</f>
        <v>4865</v>
      </c>
      <c r="E18" s="164">
        <f>SUM(E10:E17)+E8</f>
        <v>51321</v>
      </c>
      <c r="F18" s="164">
        <f>SUM(F10:F17)+F8</f>
        <v>23222</v>
      </c>
      <c r="G18" s="164">
        <f t="shared" ref="G18:N18" si="0">SUM(G10:G17)+G8</f>
        <v>0</v>
      </c>
      <c r="H18" s="164">
        <f t="shared" si="0"/>
        <v>36081</v>
      </c>
      <c r="I18" s="164">
        <f>SUM(I10:I17)+I8</f>
        <v>20200</v>
      </c>
      <c r="J18" s="164">
        <f t="shared" si="0"/>
        <v>0</v>
      </c>
      <c r="K18" s="164">
        <f t="shared" si="0"/>
        <v>0</v>
      </c>
      <c r="L18" s="164">
        <f t="shared" si="0"/>
        <v>0</v>
      </c>
      <c r="M18" s="164">
        <f t="shared" si="0"/>
        <v>0</v>
      </c>
      <c r="N18" s="164">
        <f t="shared" si="0"/>
        <v>35158</v>
      </c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</row>
    <row r="19" spans="1:229" ht="25.5" x14ac:dyDescent="0.25">
      <c r="A19" s="159" t="s">
        <v>87</v>
      </c>
      <c r="B19" s="165">
        <f>B9*70</f>
        <v>0</v>
      </c>
      <c r="C19" s="165">
        <f>C9*70</f>
        <v>350</v>
      </c>
      <c r="D19" s="165">
        <f t="shared" ref="D19:N19" si="1">D9*70</f>
        <v>266</v>
      </c>
      <c r="E19" s="165">
        <f t="shared" si="1"/>
        <v>1407</v>
      </c>
      <c r="F19" s="165">
        <f t="shared" si="1"/>
        <v>140</v>
      </c>
      <c r="G19" s="165">
        <f t="shared" si="1"/>
        <v>0</v>
      </c>
      <c r="H19" s="165">
        <f t="shared" si="1"/>
        <v>210</v>
      </c>
      <c r="I19" s="165">
        <f t="shared" si="1"/>
        <v>875</v>
      </c>
      <c r="J19" s="165">
        <f t="shared" si="1"/>
        <v>0</v>
      </c>
      <c r="K19" s="165">
        <f t="shared" si="1"/>
        <v>0</v>
      </c>
      <c r="L19" s="165">
        <f t="shared" si="1"/>
        <v>0</v>
      </c>
      <c r="M19" s="165">
        <f t="shared" si="1"/>
        <v>0</v>
      </c>
      <c r="N19" s="165">
        <f t="shared" si="1"/>
        <v>840</v>
      </c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</row>
    <row r="20" spans="1:229" x14ac:dyDescent="0.25">
      <c r="A20" s="159" t="s">
        <v>79</v>
      </c>
      <c r="B20" s="165">
        <f>B10*0.32</f>
        <v>0</v>
      </c>
      <c r="C20" s="165">
        <f t="shared" ref="C20:N20" si="2">C10*0.32</f>
        <v>3247.36</v>
      </c>
      <c r="D20" s="165">
        <f t="shared" si="2"/>
        <v>48</v>
      </c>
      <c r="E20" s="165">
        <f t="shared" si="2"/>
        <v>3897.92</v>
      </c>
      <c r="F20" s="165">
        <f t="shared" si="2"/>
        <v>4087.04</v>
      </c>
      <c r="G20" s="165">
        <f t="shared" si="2"/>
        <v>0</v>
      </c>
      <c r="H20" s="165">
        <f t="shared" si="2"/>
        <v>5710.08</v>
      </c>
      <c r="I20" s="165">
        <f t="shared" si="2"/>
        <v>1305.6000000000001</v>
      </c>
      <c r="J20" s="165">
        <f t="shared" si="2"/>
        <v>0</v>
      </c>
      <c r="K20" s="165">
        <f t="shared" si="2"/>
        <v>0</v>
      </c>
      <c r="L20" s="165">
        <f t="shared" si="2"/>
        <v>0</v>
      </c>
      <c r="M20" s="165">
        <f t="shared" si="2"/>
        <v>0</v>
      </c>
      <c r="N20" s="165">
        <f t="shared" si="2"/>
        <v>3189.76</v>
      </c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</row>
    <row r="21" spans="1:229" ht="25.5" x14ac:dyDescent="0.25">
      <c r="A21" s="166" t="s">
        <v>80</v>
      </c>
      <c r="B21" s="165">
        <f>B11*0.35</f>
        <v>0</v>
      </c>
      <c r="C21" s="165">
        <f>C11*0.6</f>
        <v>0</v>
      </c>
      <c r="D21" s="165">
        <f t="shared" ref="D21:N21" si="3">D11*0.6</f>
        <v>0</v>
      </c>
      <c r="E21" s="165">
        <f t="shared" si="3"/>
        <v>0</v>
      </c>
      <c r="F21" s="165">
        <f t="shared" si="3"/>
        <v>0</v>
      </c>
      <c r="G21" s="165">
        <f t="shared" si="3"/>
        <v>0</v>
      </c>
      <c r="H21" s="165">
        <f t="shared" si="3"/>
        <v>774</v>
      </c>
      <c r="I21" s="165">
        <f t="shared" si="3"/>
        <v>0</v>
      </c>
      <c r="J21" s="165">
        <f t="shared" si="3"/>
        <v>0</v>
      </c>
      <c r="K21" s="165">
        <f t="shared" si="3"/>
        <v>0</v>
      </c>
      <c r="L21" s="165">
        <f t="shared" si="3"/>
        <v>0</v>
      </c>
      <c r="M21" s="165">
        <f t="shared" si="3"/>
        <v>0</v>
      </c>
      <c r="N21" s="165">
        <f t="shared" si="3"/>
        <v>138</v>
      </c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</row>
    <row r="22" spans="1:229" x14ac:dyDescent="0.25">
      <c r="A22" s="159" t="s">
        <v>88</v>
      </c>
      <c r="B22" s="165">
        <f>B12*0.1</f>
        <v>0</v>
      </c>
      <c r="C22" s="165">
        <f t="shared" ref="C22:N22" si="4">C12*0.1</f>
        <v>1026.2</v>
      </c>
      <c r="D22" s="165">
        <f t="shared" si="4"/>
        <v>251.5</v>
      </c>
      <c r="E22" s="165">
        <f t="shared" si="4"/>
        <v>2118</v>
      </c>
      <c r="F22" s="165">
        <f t="shared" si="4"/>
        <v>688</v>
      </c>
      <c r="G22" s="165">
        <f t="shared" si="4"/>
        <v>0</v>
      </c>
      <c r="H22" s="165">
        <f t="shared" si="4"/>
        <v>1057.7</v>
      </c>
      <c r="I22" s="165">
        <f t="shared" si="4"/>
        <v>661</v>
      </c>
      <c r="J22" s="165">
        <f t="shared" si="4"/>
        <v>0</v>
      </c>
      <c r="K22" s="165">
        <f t="shared" si="4"/>
        <v>0</v>
      </c>
      <c r="L22" s="165">
        <f t="shared" si="4"/>
        <v>0</v>
      </c>
      <c r="M22" s="165">
        <f t="shared" si="4"/>
        <v>0</v>
      </c>
      <c r="N22" s="165">
        <f t="shared" si="4"/>
        <v>1634</v>
      </c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</row>
    <row r="23" spans="1:229" ht="25.5" x14ac:dyDescent="0.25">
      <c r="A23" s="159" t="s">
        <v>82</v>
      </c>
      <c r="B23" s="165">
        <f>B13*0.32</f>
        <v>0</v>
      </c>
      <c r="C23" s="165">
        <f t="shared" ref="C23:J23" si="5">C13*0.32</f>
        <v>515.20000000000005</v>
      </c>
      <c r="D23" s="165">
        <f t="shared" si="5"/>
        <v>0</v>
      </c>
      <c r="E23" s="165">
        <f t="shared" si="5"/>
        <v>2483.2000000000003</v>
      </c>
      <c r="F23" s="165">
        <f t="shared" si="5"/>
        <v>342.40000000000003</v>
      </c>
      <c r="G23" s="165">
        <f t="shared" si="5"/>
        <v>0</v>
      </c>
      <c r="H23" s="165">
        <f t="shared" si="5"/>
        <v>1558.4</v>
      </c>
      <c r="I23" s="165">
        <f t="shared" si="5"/>
        <v>499.2</v>
      </c>
      <c r="J23" s="165">
        <f t="shared" si="5"/>
        <v>0</v>
      </c>
      <c r="K23" s="165">
        <f>K13*0.32</f>
        <v>0</v>
      </c>
      <c r="L23" s="165">
        <f>L13*0.32</f>
        <v>0</v>
      </c>
      <c r="M23" s="165">
        <f>M13*0.32</f>
        <v>0</v>
      </c>
      <c r="N23" s="165">
        <f>N13*0.32</f>
        <v>838.4</v>
      </c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</row>
    <row r="24" spans="1:229" ht="25.5" x14ac:dyDescent="0.25">
      <c r="A24" s="159" t="s">
        <v>83</v>
      </c>
      <c r="B24" s="165">
        <f>(B14/2)*0.32</f>
        <v>0</v>
      </c>
      <c r="C24" s="165">
        <f t="shared" ref="C24:N24" si="6">(C14/2)*0.32</f>
        <v>0</v>
      </c>
      <c r="D24" s="165">
        <f t="shared" si="6"/>
        <v>0</v>
      </c>
      <c r="E24" s="165">
        <f t="shared" si="6"/>
        <v>0</v>
      </c>
      <c r="F24" s="165">
        <f t="shared" si="6"/>
        <v>240</v>
      </c>
      <c r="G24" s="165">
        <f t="shared" si="6"/>
        <v>0</v>
      </c>
      <c r="H24" s="165">
        <f t="shared" si="6"/>
        <v>0</v>
      </c>
      <c r="I24" s="165">
        <f t="shared" si="6"/>
        <v>416</v>
      </c>
      <c r="J24" s="165">
        <f t="shared" si="6"/>
        <v>0</v>
      </c>
      <c r="K24" s="165">
        <f t="shared" si="6"/>
        <v>0</v>
      </c>
      <c r="L24" s="165">
        <f t="shared" si="6"/>
        <v>0</v>
      </c>
      <c r="M24" s="165">
        <f t="shared" si="6"/>
        <v>0</v>
      </c>
      <c r="N24" s="165">
        <f t="shared" si="6"/>
        <v>0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</row>
    <row r="25" spans="1:229" ht="25.5" x14ac:dyDescent="0.25">
      <c r="A25" s="159" t="s">
        <v>89</v>
      </c>
      <c r="B25" s="165">
        <f t="shared" ref="B25:N26" si="7">B15*0.45</f>
        <v>0</v>
      </c>
      <c r="C25" s="165">
        <f t="shared" si="7"/>
        <v>0</v>
      </c>
      <c r="D25" s="165">
        <f t="shared" si="7"/>
        <v>0</v>
      </c>
      <c r="E25" s="165">
        <f t="shared" si="7"/>
        <v>0</v>
      </c>
      <c r="F25" s="165">
        <f t="shared" si="7"/>
        <v>0</v>
      </c>
      <c r="G25" s="165">
        <f t="shared" si="7"/>
        <v>0</v>
      </c>
      <c r="H25" s="165">
        <f t="shared" si="7"/>
        <v>0</v>
      </c>
      <c r="I25" s="165">
        <f t="shared" si="7"/>
        <v>0</v>
      </c>
      <c r="J25" s="165">
        <f t="shared" si="7"/>
        <v>0</v>
      </c>
      <c r="K25" s="165">
        <f t="shared" si="7"/>
        <v>0</v>
      </c>
      <c r="L25" s="165">
        <f t="shared" si="7"/>
        <v>0</v>
      </c>
      <c r="M25" s="165">
        <f t="shared" si="7"/>
        <v>0</v>
      </c>
      <c r="N25" s="165">
        <f t="shared" si="7"/>
        <v>0</v>
      </c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</row>
    <row r="26" spans="1:229" ht="25.5" x14ac:dyDescent="0.25">
      <c r="A26" s="159" t="s">
        <v>85</v>
      </c>
      <c r="B26" s="165">
        <f>B16*0.45</f>
        <v>0</v>
      </c>
      <c r="C26" s="165">
        <f t="shared" si="7"/>
        <v>0</v>
      </c>
      <c r="D26" s="165">
        <f t="shared" si="7"/>
        <v>0</v>
      </c>
      <c r="E26" s="165">
        <f t="shared" si="7"/>
        <v>0</v>
      </c>
      <c r="F26" s="165">
        <f t="shared" si="7"/>
        <v>0</v>
      </c>
      <c r="G26" s="165">
        <f t="shared" si="7"/>
        <v>0</v>
      </c>
      <c r="H26" s="165">
        <f t="shared" si="7"/>
        <v>0</v>
      </c>
      <c r="I26" s="165">
        <f t="shared" si="7"/>
        <v>0</v>
      </c>
      <c r="J26" s="165">
        <f t="shared" si="7"/>
        <v>0</v>
      </c>
      <c r="K26" s="165">
        <f t="shared" si="7"/>
        <v>0</v>
      </c>
      <c r="L26" s="165">
        <f t="shared" si="7"/>
        <v>0</v>
      </c>
      <c r="M26" s="165">
        <f t="shared" si="7"/>
        <v>0</v>
      </c>
      <c r="N26" s="165">
        <f t="shared" si="7"/>
        <v>0</v>
      </c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</row>
    <row r="27" spans="1:229" ht="16.5" x14ac:dyDescent="0.25">
      <c r="A27" s="159" t="s">
        <v>86</v>
      </c>
      <c r="B27" s="165">
        <f t="shared" ref="B27:N27" si="8">B17*0.45</f>
        <v>0</v>
      </c>
      <c r="C27" s="165">
        <f t="shared" si="8"/>
        <v>0</v>
      </c>
      <c r="D27" s="165">
        <f t="shared" si="8"/>
        <v>0</v>
      </c>
      <c r="E27" s="165">
        <f t="shared" si="8"/>
        <v>0</v>
      </c>
      <c r="F27" s="165">
        <f t="shared" si="8"/>
        <v>0</v>
      </c>
      <c r="G27" s="165">
        <f t="shared" si="8"/>
        <v>0</v>
      </c>
      <c r="H27" s="165">
        <f t="shared" si="8"/>
        <v>0</v>
      </c>
      <c r="I27" s="165">
        <f t="shared" si="8"/>
        <v>0</v>
      </c>
      <c r="J27" s="165">
        <f t="shared" si="8"/>
        <v>0</v>
      </c>
      <c r="K27" s="165">
        <f t="shared" si="8"/>
        <v>0</v>
      </c>
      <c r="L27" s="165">
        <f t="shared" si="8"/>
        <v>0</v>
      </c>
      <c r="M27" s="165">
        <f t="shared" si="8"/>
        <v>0</v>
      </c>
      <c r="N27" s="165">
        <f t="shared" si="8"/>
        <v>0</v>
      </c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67"/>
      <c r="DZ27" s="167"/>
      <c r="EA27" s="167"/>
      <c r="EB27" s="167"/>
      <c r="EC27" s="167"/>
      <c r="ED27" s="167"/>
      <c r="EE27" s="167"/>
      <c r="EF27" s="167"/>
      <c r="EG27" s="167"/>
      <c r="EH27" s="167"/>
      <c r="EI27" s="167"/>
      <c r="EJ27" s="167"/>
      <c r="EK27" s="167"/>
      <c r="EL27" s="167"/>
      <c r="EM27" s="167"/>
      <c r="EN27" s="167"/>
      <c r="EO27" s="167"/>
      <c r="EP27" s="167"/>
      <c r="EQ27" s="167"/>
      <c r="ER27" s="167"/>
      <c r="ES27" s="167"/>
      <c r="ET27" s="167"/>
      <c r="EU27" s="167"/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</row>
    <row r="28" spans="1:229" ht="16.5" x14ac:dyDescent="0.25">
      <c r="A28" s="163" t="s">
        <v>54</v>
      </c>
      <c r="B28" s="168">
        <f t="shared" ref="B28:N28" si="9">SUM(B19:B27)</f>
        <v>0</v>
      </c>
      <c r="C28" s="168">
        <f t="shared" si="9"/>
        <v>5138.76</v>
      </c>
      <c r="D28" s="168">
        <f t="shared" si="9"/>
        <v>565.5</v>
      </c>
      <c r="E28" s="168">
        <f t="shared" si="9"/>
        <v>9906.1200000000008</v>
      </c>
      <c r="F28" s="168">
        <f t="shared" si="9"/>
        <v>5497.44</v>
      </c>
      <c r="G28" s="168">
        <f t="shared" si="9"/>
        <v>0</v>
      </c>
      <c r="H28" s="168">
        <f t="shared" si="9"/>
        <v>9310.18</v>
      </c>
      <c r="I28" s="168">
        <f t="shared" si="9"/>
        <v>3756.8</v>
      </c>
      <c r="J28" s="168">
        <f t="shared" si="9"/>
        <v>0</v>
      </c>
      <c r="K28" s="168">
        <f t="shared" si="9"/>
        <v>0</v>
      </c>
      <c r="L28" s="168">
        <f t="shared" si="9"/>
        <v>0</v>
      </c>
      <c r="M28" s="168">
        <f t="shared" si="9"/>
        <v>0</v>
      </c>
      <c r="N28" s="168">
        <f t="shared" si="9"/>
        <v>6640.16</v>
      </c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</row>
    <row r="29" spans="1:229" ht="16.5" x14ac:dyDescent="0.25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</row>
    <row r="30" spans="1:229" ht="16.5" x14ac:dyDescent="0.25">
      <c r="A30" s="169"/>
      <c r="B30" s="167"/>
      <c r="C30" s="167"/>
      <c r="D30" s="170"/>
      <c r="E30" s="170"/>
      <c r="F30" s="170"/>
      <c r="G30" s="170"/>
      <c r="H30" s="167"/>
      <c r="I30" s="167"/>
      <c r="J30" s="167"/>
      <c r="K30" s="167"/>
      <c r="L30" s="167"/>
      <c r="M30" s="167"/>
      <c r="N30" s="167"/>
      <c r="O30" s="167">
        <f>SUM(C28:N28)</f>
        <v>40814.960000000006</v>
      </c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</row>
    <row r="31" spans="1:229" ht="16.5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</row>
    <row r="32" spans="1:229" ht="18.75" x14ac:dyDescent="0.25">
      <c r="A32" s="125"/>
      <c r="B32" s="126"/>
      <c r="C32" s="126"/>
      <c r="D32" s="126"/>
      <c r="E32" s="126"/>
      <c r="F32" s="126"/>
      <c r="G32" s="126"/>
      <c r="H32" s="171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</row>
    <row r="33" spans="19:19" x14ac:dyDescent="0.25">
      <c r="S33" s="172"/>
    </row>
  </sheetData>
  <mergeCells count="1">
    <mergeCell ref="A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T1</vt:lpstr>
      <vt:lpstr>DS T1</vt:lpstr>
      <vt:lpstr>T2</vt:lpstr>
      <vt:lpstr>DS T2</vt:lpstr>
      <vt:lpstr>T3</vt:lpstr>
      <vt:lpstr>DS T3</vt:lpstr>
      <vt:lpstr>T4</vt:lpstr>
      <vt:lpstr>DS T4</vt:lpstr>
      <vt:lpstr>T5</vt:lpstr>
      <vt:lpstr>DS T5</vt:lpstr>
      <vt:lpstr>T6</vt:lpstr>
      <vt:lpstr>DS T6</vt:lpstr>
      <vt:lpstr>T7</vt:lpstr>
      <vt:lpstr>DS T7</vt:lpstr>
      <vt:lpstr>T8</vt:lpstr>
      <vt:lpstr>DS T8</vt:lpstr>
      <vt:lpstr>T9</vt:lpstr>
      <vt:lpstr>DS T9</vt:lpstr>
      <vt:lpstr>T10</vt:lpstr>
      <vt:lpstr>DS T10</vt:lpstr>
      <vt:lpstr>T11</vt:lpstr>
      <vt:lpstr>DS T11</vt:lpstr>
      <vt:lpstr>T12</vt:lpstr>
      <vt:lpstr>DS T12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KETOAN3</dc:creator>
  <cp:lastModifiedBy>KETOAN3</cp:lastModifiedBy>
  <dcterms:created xsi:type="dcterms:W3CDTF">2026-02-23T02:08:40Z</dcterms:created>
  <dcterms:modified xsi:type="dcterms:W3CDTF">2026-02-23T02:23:28Z</dcterms:modified>
</cp:coreProperties>
</file>